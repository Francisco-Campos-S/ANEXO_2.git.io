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sonal\Desktop\REGISTRO_TFG\ANEXO 2\ANEXO_2.git.io\"/>
    </mc:Choice>
  </mc:AlternateContent>
  <xr:revisionPtr revIDLastSave="0" documentId="13_ncr:1_{3224BAFF-481F-4996-A290-98FA1B25CCAE}" xr6:coauthVersionLast="47" xr6:coauthVersionMax="47" xr10:uidLastSave="{00000000-0000-0000-0000-000000000000}"/>
  <bookViews>
    <workbookView xWindow="28680" yWindow="-120" windowWidth="13740" windowHeight="21120" xr2:uid="{00000000-000D-0000-FFFF-FFFF00000000}"/>
  </bookViews>
  <sheets>
    <sheet name="LISTA DE ESTUDIANTES" sheetId="6" r:id="rId1"/>
    <sheet name="ESPAÑOL " sheetId="5" r:id="rId2"/>
    <sheet name="MATEMATICA" sheetId="7" r:id="rId3"/>
  </sheets>
  <definedNames>
    <definedName name="_Toc190024795" localSheetId="1">'ESPAÑOL '!$N$8</definedName>
    <definedName name="_Toc190024795" localSheetId="2">MATEMATICA!$N$8</definedName>
    <definedName name="_xlnm.Print_Area" localSheetId="1">'ESPAÑOL '!$J$5:$Q$74</definedName>
    <definedName name="_xlnm.Print_Area" localSheetId="2">MATEMATICA!$J$5:$Q$74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7" l="1"/>
  <c r="M55" i="7"/>
  <c r="M53" i="7"/>
  <c r="M51" i="7"/>
  <c r="M47" i="7"/>
  <c r="M45" i="7"/>
  <c r="M43" i="7"/>
  <c r="M36" i="7"/>
  <c r="M34" i="7"/>
  <c r="M32" i="7"/>
  <c r="M28" i="7"/>
  <c r="M26" i="7"/>
  <c r="M24" i="7"/>
  <c r="M20" i="7"/>
  <c r="M18" i="7"/>
  <c r="M16" i="7"/>
  <c r="P11" i="7"/>
  <c r="N11" i="7"/>
  <c r="U4" i="7"/>
  <c r="P10" i="7" s="1"/>
  <c r="N11" i="5"/>
  <c r="U4" i="5"/>
  <c r="P10" i="5" s="1"/>
  <c r="P11" i="5"/>
  <c r="M20" i="5"/>
  <c r="M16" i="5"/>
  <c r="M53" i="5"/>
  <c r="M55" i="5"/>
  <c r="M51" i="5"/>
  <c r="M45" i="5"/>
  <c r="M47" i="5"/>
  <c r="M43" i="5"/>
  <c r="M26" i="5"/>
  <c r="M28" i="5"/>
  <c r="M34" i="5"/>
  <c r="M36" i="5"/>
  <c r="M32" i="5"/>
  <c r="M24" i="5"/>
  <c r="M18" i="5"/>
</calcChain>
</file>

<file path=xl/sharedStrings.xml><?xml version="1.0" encoding="utf-8"?>
<sst xmlns="http://schemas.openxmlformats.org/spreadsheetml/2006/main" count="696" uniqueCount="318">
  <si>
    <t>Circuito: 06</t>
  </si>
  <si>
    <t>Nombre del estudiante:</t>
  </si>
  <si>
    <t>Nivel de Funcionamiento:</t>
  </si>
  <si>
    <t xml:space="preserve">Docente responsable:                                                      </t>
  </si>
  <si>
    <t xml:space="preserve"> Asignatura:</t>
  </si>
  <si>
    <t xml:space="preserve">              Segundo Período (    )</t>
  </si>
  <si>
    <t xml:space="preserve">Descripción del funcionamiento del Estudiante: </t>
  </si>
  <si>
    <t xml:space="preserve">Primer Período (  X  )  </t>
  </si>
  <si>
    <t xml:space="preserve">Código                                                   </t>
  </si>
  <si>
    <t xml:space="preserve">
ANEXO 2: REGISTRO DE APOYOS EDUCATIVOS</t>
  </si>
  <si>
    <t>Curso lectivo 2025</t>
  </si>
  <si>
    <t>Apoyos personales</t>
  </si>
  <si>
    <t xml:space="preserve">Resultados </t>
  </si>
  <si>
    <t xml:space="preserve">Utilizar su cercanía física para mantenerlo atento a la clase. </t>
  </si>
  <si>
    <t>A.P.1</t>
  </si>
  <si>
    <t>A.P.2</t>
  </si>
  <si>
    <t xml:space="preserve">Utilizar la tutoría entre compañeros. </t>
  </si>
  <si>
    <t>A.P.3</t>
  </si>
  <si>
    <t xml:space="preserve">Brindar acercamiento físico y las manifestaciones de apoyo. </t>
  </si>
  <si>
    <t>A.P.4</t>
  </si>
  <si>
    <t xml:space="preserve">Reforzar cada logro por más pequeño que este sea. </t>
  </si>
  <si>
    <t>A.P.5</t>
  </si>
  <si>
    <t xml:space="preserve">Reforzar la autoestima mediante actividades que le permitan éxito, particularizando en características cognitivas y sociales. </t>
  </si>
  <si>
    <t>A.P.6</t>
  </si>
  <si>
    <t xml:space="preserve">Utilizar constantemente la estrategia de trabajo cooperativo con la finalidad de que logre beneficiar y beneficiarse de las experiencias de otros compañeros y así reforzar su seguridad en la ejecución de los aprendizajes. </t>
  </si>
  <si>
    <t>A.P.7</t>
  </si>
  <si>
    <t xml:space="preserve">Dar responsabilidades especificas al estudiante dentro del aula y hogar para reforzar su autoconfianza generando responsabilidad e independencia. </t>
  </si>
  <si>
    <t>A.P.8</t>
  </si>
  <si>
    <t xml:space="preserve">Utilizar dentro de la propuesta pedagógica actividades que refuercen la autoestima como: expresión de sentimientos, respeto a la diferencia y tolerancia. </t>
  </si>
  <si>
    <t>A.P.9</t>
  </si>
  <si>
    <t xml:space="preserve">Utilizar reforzadores sociales como: "muy bien", "usted puede" y "siga así". </t>
  </si>
  <si>
    <t>A.P.10</t>
  </si>
  <si>
    <t xml:space="preserve">Utilizar canales sensoriales como: auditivos, kinestésico y táctil para presentar la materia. </t>
  </si>
  <si>
    <t>A.P.11</t>
  </si>
  <si>
    <t>Generar alguna técnica para recordar frecuentemente la entrega de trabajos a largo plazo.</t>
  </si>
  <si>
    <t>A.P.12</t>
  </si>
  <si>
    <t xml:space="preserve">Referir a otros especialistas (orientador, docente de apoyo, psicología, terapia física, terapia de lenguaje, otros). </t>
  </si>
  <si>
    <t>A.P.13</t>
  </si>
  <si>
    <t>Otros:</t>
  </si>
  <si>
    <t xml:space="preserve">Apoyos Organizativos (A.A) </t>
  </si>
  <si>
    <t>Apoyos Curriculares (Metodología)(A.C.)</t>
  </si>
  <si>
    <t xml:space="preserve">Apoyos Curriculares (Evaluación)(A.C) </t>
  </si>
  <si>
    <t>Marque con X los Apoyos Personales Específicos que recibe esta persona estudiante:</t>
  </si>
  <si>
    <t xml:space="preserve">(  ) Terapia de Lenguaje  </t>
  </si>
  <si>
    <t xml:space="preserve"> (   ) Problemas Emocionales </t>
  </si>
  <si>
    <t xml:space="preserve">(   ) Discap. Visual </t>
  </si>
  <si>
    <t xml:space="preserve">(   ) Problemas de Aprendizaje </t>
  </si>
  <si>
    <t xml:space="preserve">(  ) Terapia Física </t>
  </si>
  <si>
    <t xml:space="preserve">Recomendaciones:  </t>
  </si>
  <si>
    <t xml:space="preserve">Firma del    Profesor (a) 	</t>
  </si>
  <si>
    <t>____________________________________________</t>
  </si>
  <si>
    <t xml:space="preserve">VB.     Comité de Apoyo	</t>
  </si>
  <si>
    <t>Cc/ Expediente Único</t>
  </si>
  <si>
    <t>Puntarenas, Coto Brus, 600 metros sureste de la Tostadora de Café Río Brus, camino a Río Sereno.</t>
  </si>
  <si>
    <t>Teléfono (506) 2784-0616  / ctp.desabalito@mep.go.cr</t>
  </si>
  <si>
    <t>A.A.13</t>
  </si>
  <si>
    <t>Ubicar al estudiante cerca de compañeros que no se desconcentren.</t>
  </si>
  <si>
    <t>A.A.14</t>
  </si>
  <si>
    <t xml:space="preserve">Ubicar al estudiante donde mejor pueda ver la pizarra. </t>
  </si>
  <si>
    <t>A.A.15</t>
  </si>
  <si>
    <t>Sentar al estudiante en un lugar donde tenga buena iluminación</t>
  </si>
  <si>
    <t>A.A.16</t>
  </si>
  <si>
    <t>Considerar colocar los asientos en semicírculo.</t>
  </si>
  <si>
    <t>A.A.17</t>
  </si>
  <si>
    <t>Rotular objetos y partes importantes de la clase.</t>
  </si>
  <si>
    <t>A.A.18</t>
  </si>
  <si>
    <t>Organizar y agrupar los y las estudiantes de acuerdo con sus intereses motivacionales</t>
  </si>
  <si>
    <t>A.A.19</t>
  </si>
  <si>
    <t>Organizar el tiempo y del espacio para mejorar el clima organizacional.</t>
  </si>
  <si>
    <t>A.A.20</t>
  </si>
  <si>
    <t>Anotar la fecha de exámenes y entrega de trabajo en un lugar visible.</t>
  </si>
  <si>
    <t>A.A.21</t>
  </si>
  <si>
    <t>Establecer rutinas de trabajo.</t>
  </si>
  <si>
    <t>A.A.22</t>
  </si>
  <si>
    <t>Anotar en la pizarra el número de página y/o ejercicios a realizar.</t>
  </si>
  <si>
    <t>A.A.23</t>
  </si>
  <si>
    <t>Otras:</t>
  </si>
  <si>
    <t>Apoyos Materiales y Tecnológicos sugeridos</t>
  </si>
  <si>
    <t>Ampliar la letra al tamaño que el estudiante sienta mejor.</t>
  </si>
  <si>
    <t>A.A.24</t>
  </si>
  <si>
    <t>Permitir el uso de lámparas y lupas para que pueda tener una mejor visión.</t>
  </si>
  <si>
    <t>A.A.25</t>
  </si>
  <si>
    <t>Utilización de rotafolios escribiendo con marcador grueso y letra amplia como material de apoyo de temas vistos en clase.</t>
  </si>
  <si>
    <t>A.A.26</t>
  </si>
  <si>
    <t>Permitir el uso de dispositivos para que realice grabaciones en clases.</t>
  </si>
  <si>
    <t>A.A.27</t>
  </si>
  <si>
    <t>Usar marcadores gruesos preferiblemente azul o negro para escribir en la pizarra.</t>
  </si>
  <si>
    <t>A.A.28</t>
  </si>
  <si>
    <t>Permitir el uso del diccionario para ejecución de trabajo cotidiano y pruebas.</t>
  </si>
  <si>
    <t>A.A.29</t>
  </si>
  <si>
    <t>Usar láminas, mapas, gráficos y vídeos relacionados con los aprendizajes que se desarrollan.</t>
  </si>
  <si>
    <t>A.A.30</t>
  </si>
  <si>
    <t>Permitir el uso de las tablas de multiplicar para ejecución de trabajo cotidiano y pruebas.</t>
  </si>
  <si>
    <t>A.A.31</t>
  </si>
  <si>
    <t>Permitir el uso de la calculadora para la ejecución de trabajo cotidiano y pruebas.</t>
  </si>
  <si>
    <t>A.A.32</t>
  </si>
  <si>
    <t>Permitir el uso de fichas con las fórmulas matemáticas para ejecución de trabajo cotidiano y pruebas.</t>
  </si>
  <si>
    <t>A.A.33</t>
  </si>
  <si>
    <t>Al utilizar la explicación verbal acompáñela de una explicación visual gráfica.</t>
  </si>
  <si>
    <t>A.A.34</t>
  </si>
  <si>
    <t>Facilitar el material impreso en caso de ser necesario.</t>
  </si>
  <si>
    <t>A.A.35</t>
  </si>
  <si>
    <t>Brindar al estudiante fichas que contengan información de los aprendizajes vistos en clases.</t>
  </si>
  <si>
    <t>A.A.36</t>
  </si>
  <si>
    <t>Facilitar material de reforzamiento para hacer en casa.</t>
  </si>
  <si>
    <t>A.A.37</t>
  </si>
  <si>
    <t>Facilitar cuestionarios como material de apoyo.</t>
  </si>
  <si>
    <t>A.A.38</t>
  </si>
  <si>
    <t>Utilizar un diccionario ilustrado de conceptos básicos como palabras claves y estructuras gramaticales.</t>
  </si>
  <si>
    <t>A.A.39:</t>
  </si>
  <si>
    <t xml:space="preserve">Apoyos sugeridos que podría brindar el docente regular. </t>
  </si>
  <si>
    <t>Apoyos Organizativos Sugeridos</t>
  </si>
  <si>
    <t>Apoyos Materiales y Tecnológicos (A.A)</t>
  </si>
  <si>
    <t>Apoyos Curriculares (Metodología)</t>
  </si>
  <si>
    <t>A.C.39</t>
  </si>
  <si>
    <t>Ajustar los aprendizajes esperados del programa según nivel de funcionamiento.</t>
  </si>
  <si>
    <t>A.C.40</t>
  </si>
  <si>
    <t>Utilizar canales sensoriales como: auditivos, kinestésico y táctil para transmitir los aprendizajes.</t>
  </si>
  <si>
    <t>A.C.41</t>
  </si>
  <si>
    <t xml:space="preserve">Permitir más tiempo para terminar los trabajos cotidianos individualmente.  </t>
  </si>
  <si>
    <t>A.C.42</t>
  </si>
  <si>
    <t>Permitir al estudiante que se comunique como mejor pueda.</t>
  </si>
  <si>
    <t>A.C.43</t>
  </si>
  <si>
    <t>Apoyar en señas y gestos al comunicarse.</t>
  </si>
  <si>
    <t>A.C.44</t>
  </si>
  <si>
    <t>Hablar siempre frente al estudiante (contacto visual).</t>
  </si>
  <si>
    <t>A.C.45</t>
  </si>
  <si>
    <t>De ser necesario disminuir la longitud y la cantidad de las tareas y/o actividades.</t>
  </si>
  <si>
    <t>A.C.46</t>
  </si>
  <si>
    <t>Utilizar hojas y material de trabajo poco recargados.</t>
  </si>
  <si>
    <t>A.C.47</t>
  </si>
  <si>
    <t xml:space="preserve">Involucrar al estudiante durante la lección, es decir participación frecuente utilizando la realimentación.  </t>
  </si>
  <si>
    <t>A.C.48</t>
  </si>
  <si>
    <t xml:space="preserve">Dividir la actividad o tarea en partes y déselas una por una.  </t>
  </si>
  <si>
    <t>A.C.49</t>
  </si>
  <si>
    <t>Permitir un rato de descanso entre una actividad y otra.</t>
  </si>
  <si>
    <t>A.C.50</t>
  </si>
  <si>
    <t xml:space="preserve">Combinar la teoría con la práctica. </t>
  </si>
  <si>
    <t>A.C.51</t>
  </si>
  <si>
    <t>Solicitar al estudiante que repita las indicaciones para asegurarnos de que las haya entendido.</t>
  </si>
  <si>
    <t>A.C.52</t>
  </si>
  <si>
    <t xml:space="preserve">Apoyar las indicaciones orales con indicaciones escritas. </t>
  </si>
  <si>
    <t>A.C.53</t>
  </si>
  <si>
    <t>Dar las indicaciones de manera clara y correcta.</t>
  </si>
  <si>
    <t>A.C.54</t>
  </si>
  <si>
    <t>Hacer preguntas de repaso y control de la materia.</t>
  </si>
  <si>
    <t>A.C.55</t>
  </si>
  <si>
    <t>Describir reiteradamente las acciones solicitadas.</t>
  </si>
  <si>
    <t>A.C.56</t>
  </si>
  <si>
    <t>Utilizar dentro de la propuesta pedagógica actividades que refuercen la autoestima como: expresión de sentimientos, respeto a la diferencia y la tolerancia.</t>
  </si>
  <si>
    <t>A.C.57</t>
  </si>
  <si>
    <t>Dar responsabilidades específicas al estudiante dentro del aula para reforzar su autoconfianza generando responsabilidad e independencia.</t>
  </si>
  <si>
    <t>A.C.58</t>
  </si>
  <si>
    <t>Ajustar y/o modificar las prácticas hechas en clase al ritmo de aprendizaje del estudiante.</t>
  </si>
  <si>
    <t>A.C.59</t>
  </si>
  <si>
    <t>Tocar su hombro cuando se distrae o establezca un código para llamar su atención.</t>
  </si>
  <si>
    <t>A.C.60</t>
  </si>
  <si>
    <t>Permitir al estudiante use el dedo como guía al leer.</t>
  </si>
  <si>
    <t>A.C.61</t>
  </si>
  <si>
    <t>Reforzar constantemente los logros obtenidos.</t>
  </si>
  <si>
    <t>A.C.62</t>
  </si>
  <si>
    <t>Reducir la cantidad de palabras en una redacción.</t>
  </si>
  <si>
    <t>A.C.63</t>
  </si>
  <si>
    <t xml:space="preserve">Devolver los trabajos que realiza muy rápido para que los revise. </t>
  </si>
  <si>
    <t>A.C.64</t>
  </si>
  <si>
    <t>Dividir el trabajo de clase de tal manera que, si queda algo pendiente, pueda terminarlo en la casa.</t>
  </si>
  <si>
    <t>A.C.65</t>
  </si>
  <si>
    <t>Relacionar la escritura del estudiante con su fonética y no evaluar o restar puntos por el error.</t>
  </si>
  <si>
    <t>A.C.66</t>
  </si>
  <si>
    <t>Desarrollar metodología sobre un solo tema a la vez.</t>
  </si>
  <si>
    <t>A.C.67</t>
  </si>
  <si>
    <t>Facilitar prácticas de reforzamiento para hacer en casa.</t>
  </si>
  <si>
    <t>A.C.68</t>
  </si>
  <si>
    <t>Utilizar la técnica de la dramatización.</t>
  </si>
  <si>
    <t>A.C.69</t>
  </si>
  <si>
    <t>A.C.70</t>
  </si>
  <si>
    <t>Enseñar al estudiante a auto comprobarse utilizando señales.</t>
  </si>
  <si>
    <t>A.C.71</t>
  </si>
  <si>
    <t>Disminuir la cantidad de ejercicios repetitivos.</t>
  </si>
  <si>
    <t>A.C.72</t>
  </si>
  <si>
    <t>Trabajar con fichas.</t>
  </si>
  <si>
    <t>A.C.73</t>
  </si>
  <si>
    <t>Apoyos Curriculares sugeridos (Evaluación)</t>
  </si>
  <si>
    <t>Dar tiempo adicional para la realización de los trabajos en clase y las pruebas.</t>
  </si>
  <si>
    <t>A.C.74</t>
  </si>
  <si>
    <t>Utilizar solamente ítems de selección simple.</t>
  </si>
  <si>
    <t>A.C.75</t>
  </si>
  <si>
    <t>Resolver la prueba en recinto aparte.</t>
  </si>
  <si>
    <t>A.C.76</t>
  </si>
  <si>
    <t>Aplicar prueba específica.</t>
  </si>
  <si>
    <t>A.C.77</t>
  </si>
  <si>
    <t>Omitir la calificación de la caligrafía.</t>
  </si>
  <si>
    <t>A.C.78</t>
  </si>
  <si>
    <t>Ajustar el tamaño de la letra.</t>
  </si>
  <si>
    <t>A.C.79</t>
  </si>
  <si>
    <t>Aplicar una prueba por día.</t>
  </si>
  <si>
    <t>A.C.80</t>
  </si>
  <si>
    <t>Eliminar ítems memorísticos.</t>
  </si>
  <si>
    <t>A.C.81</t>
  </si>
  <si>
    <t>Aplicar evaluaciones cortas y frecuentes.</t>
  </si>
  <si>
    <t>A.C.82</t>
  </si>
  <si>
    <t>Tutor especialista.</t>
  </si>
  <si>
    <t>A.C.83</t>
  </si>
  <si>
    <t>Permitir emitir algunas respuestas de manera oral y la transcripción por parte de la persona docente, ante el rezago en el proceso de lectoescritura.</t>
  </si>
  <si>
    <t>A.C.84</t>
  </si>
  <si>
    <t>Permitir el uso del diccionario.</t>
  </si>
  <si>
    <t>A.C.85</t>
  </si>
  <si>
    <t>Usar tablas de multiplicar y formulas.</t>
  </si>
  <si>
    <t>A.C.86</t>
  </si>
  <si>
    <t>Usar la calculadora.</t>
  </si>
  <si>
    <t>A.C.87</t>
  </si>
  <si>
    <t>Estudiante</t>
  </si>
  <si>
    <t>Sección</t>
  </si>
  <si>
    <t>Cédula</t>
  </si>
  <si>
    <t>7-2</t>
  </si>
  <si>
    <t>7-1</t>
  </si>
  <si>
    <t>8-1</t>
  </si>
  <si>
    <t>10-1</t>
  </si>
  <si>
    <t>10-2</t>
  </si>
  <si>
    <t>11-1</t>
  </si>
  <si>
    <t>8-2</t>
  </si>
  <si>
    <t>9-3</t>
  </si>
  <si>
    <t>9-1</t>
  </si>
  <si>
    <t>10-3</t>
  </si>
  <si>
    <t>11-4</t>
  </si>
  <si>
    <t>CTRL  + P, PARA IMPRIMIR O TAMBIÉN LO PUEDE GUARDAR COMO PDF</t>
  </si>
  <si>
    <t>ESCOJA UN ESTUDIANTE EN LA LISTA Y SE DEPLEGA TODA LA INFORMACIÓN RELACIONADA</t>
  </si>
  <si>
    <t xml:space="preserve">ELIJA UN CÓDIGO Y SE DESPLEGA LA INFORMACIÓN </t>
  </si>
  <si>
    <t xml:space="preserve">VIDEO DE USO: </t>
  </si>
  <si>
    <t>https://youtu.be/wF6TR_aaiRc</t>
  </si>
  <si>
    <t xml:space="preserve">GUÍA DE LOS CÓDIGOS </t>
  </si>
  <si>
    <t>ÁREA DE TRABAJO PARA EL INFORME</t>
  </si>
  <si>
    <t>Agüero Brénes Freyser</t>
  </si>
  <si>
    <t>Guillen Chávez Omar Rafael</t>
  </si>
  <si>
    <t>Guillen Guido Eneizer</t>
  </si>
  <si>
    <t xml:space="preserve">Morales Arosemena Keilor Joshua </t>
  </si>
  <si>
    <t xml:space="preserve">González Martínez Josué </t>
  </si>
  <si>
    <t>Briones Sánchez Yeisliany</t>
  </si>
  <si>
    <t>Cerdas Guerrero Rihanna</t>
  </si>
  <si>
    <t>Cortes Espinoza Sara Ibeth</t>
  </si>
  <si>
    <t>Franco Caballero Bayron</t>
  </si>
  <si>
    <t>7–2</t>
  </si>
  <si>
    <t>Martínez Artola Julisa</t>
  </si>
  <si>
    <t xml:space="preserve">Palacios Montezuma Kenya </t>
  </si>
  <si>
    <t>Ávila Ramírez Alejandra Victoria</t>
  </si>
  <si>
    <t>Caballero González Angie Guiselle</t>
  </si>
  <si>
    <t>Caballero Mora Janish</t>
  </si>
  <si>
    <t>Guerra Pineda Astri Vanessa</t>
  </si>
  <si>
    <t>Hidalgo Vindas Lashmy</t>
  </si>
  <si>
    <t>Mora Castillo Elvis Antonio</t>
  </si>
  <si>
    <t>Muñoz Valdez Owen</t>
  </si>
  <si>
    <t>Rodríguez Rodríguez Adcison</t>
  </si>
  <si>
    <t>Salazar Chandler Jefferson Samir</t>
  </si>
  <si>
    <t>Umaña Ortiz Rutvel</t>
  </si>
  <si>
    <t>Vega Samudio Dianeth</t>
  </si>
  <si>
    <t>Jiménez Palacios Johel David</t>
  </si>
  <si>
    <t>Morales Cedeño Reichel</t>
  </si>
  <si>
    <t>Quiel Espinoza Maikel Jaccir</t>
  </si>
  <si>
    <t>Torres Álvarez Dixon Bacduel</t>
  </si>
  <si>
    <t>Alvarado Carrera Antoni</t>
  </si>
  <si>
    <t>Pineda Zúñiga María José</t>
  </si>
  <si>
    <t>Macres Gamboa Fernanda</t>
  </si>
  <si>
    <t>9-2</t>
  </si>
  <si>
    <t>Restrepo Mora Andrés Alexander</t>
  </si>
  <si>
    <t>Arauz González Brayan</t>
  </si>
  <si>
    <t>Quintero Mora Ryan Enrique</t>
  </si>
  <si>
    <t>Concepción Hurtado (Quesada) Joseth David</t>
  </si>
  <si>
    <t>Obregón Ríos Guiselle Dayana</t>
  </si>
  <si>
    <t>Palacios Vigil Dayron</t>
  </si>
  <si>
    <t>Ruiz Villareal Adriana Floribeth</t>
  </si>
  <si>
    <t>Degracia Pitti Yosbeh Aurelio</t>
  </si>
  <si>
    <t>Mora Alvarado David</t>
  </si>
  <si>
    <t>Sánchez Chinchilla Genesis Victoria</t>
  </si>
  <si>
    <t>Madriz Marín Keilor</t>
  </si>
  <si>
    <t>Morales Villagra Nicole</t>
  </si>
  <si>
    <t>Largaespada Gallardo Kristen Arlin</t>
  </si>
  <si>
    <t>10-4</t>
  </si>
  <si>
    <t>Arcellu Martínez Miguel Ángel</t>
  </si>
  <si>
    <t>Figueros Víquez Kristel</t>
  </si>
  <si>
    <t>Sequeira Pitti Jean Carlo</t>
  </si>
  <si>
    <t>Silva Castro Cristofer</t>
  </si>
  <si>
    <t>Artavia López Eduardo Antonio</t>
  </si>
  <si>
    <t>11-2</t>
  </si>
  <si>
    <t>Carmona López José</t>
  </si>
  <si>
    <t>Cortez Cerdas Dasly Nikole</t>
  </si>
  <si>
    <t>Valencia García Natalia Vanesa</t>
  </si>
  <si>
    <t>Caballera Artavia Austin</t>
  </si>
  <si>
    <t>11-3</t>
  </si>
  <si>
    <t>Delgado Cianca Alexa Fernanda</t>
  </si>
  <si>
    <t>Castillo Contreras Jonjansson</t>
  </si>
  <si>
    <t>Gonzales Batista Maikol</t>
  </si>
  <si>
    <t>Guillén Chaves Sorangel Damaris</t>
  </si>
  <si>
    <t>Muños García Ariana</t>
  </si>
  <si>
    <t>Rodríguez Pimentel Kevin Antonio</t>
  </si>
  <si>
    <t>Amador Montiel Leny Yohel</t>
  </si>
  <si>
    <t>Arauz Saavedra Katry</t>
  </si>
  <si>
    <t>Montero Araya Juleisy Pamela</t>
  </si>
  <si>
    <t>Torres Artavia Daniel Duban</t>
  </si>
  <si>
    <t>Villareal Concepción Breiner Aarón</t>
  </si>
  <si>
    <t>González Corrales Laura</t>
  </si>
  <si>
    <t>11-5</t>
  </si>
  <si>
    <t>Revisar Expediente</t>
  </si>
  <si>
    <t>Revisar Expediente Cambio de apellidos Arosemena Siles</t>
  </si>
  <si>
    <t>Según nota de matrícula que señala adecuación. Falta Revisar expediente</t>
  </si>
  <si>
    <t>No se observa en expediente el último nivel de funcionamiento, el docente lo asigna según su valoración del diagnóstico aplicado.</t>
  </si>
  <si>
    <t>Nivel de funcionamiento en el 2023 Est Soc III grado, Educación Cívica no aparece en el expediente, Ciencias III grado, Matemáticas III grado, Español III grado, Religión III grado e Ingles 5° grado en el 2022. El docente valora si lo sube de nivel.</t>
  </si>
  <si>
    <t>Según revisión de expediente el 07/05/2025 el mismo no indica nivel de funcionamiento en ninguna asignatura. El docente valora el nivel a trabajar con el estudiante.</t>
  </si>
  <si>
    <t>Audición: A partir de 10-04-25 se valorará con ADNS por solicitud de levantamiento de su apoyo.</t>
  </si>
  <si>
    <t>La revisión del expediente se dio el 21/ 05/25</t>
  </si>
  <si>
    <t>Se recomienda según expediente atención individual y dar tiempo adicional</t>
  </si>
  <si>
    <t>Revisar expediente.</t>
  </si>
  <si>
    <t>Según expediente en las asignaturas de español y estudios sociales.</t>
  </si>
  <si>
    <t>Revisar Expediente.</t>
  </si>
  <si>
    <t xml:space="preserve">Español y la Ciencias. </t>
  </si>
  <si>
    <t>Institución: Colegio Nocturno La Cuesta</t>
  </si>
  <si>
    <t>Gerardo Ramirez Rojas</t>
  </si>
  <si>
    <t>ESTUDIOS SOCIALES</t>
  </si>
  <si>
    <t>Observaciones/ FUNCIONAMIENTO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</si>
</sst>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A]d&quot; de &quot;mmmm&quot; de &quot;yy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1"/>
      <name val="Times New Roman"/>
      <family val="1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2"/>
      <color rgb="FF0070C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46">
    <xf numFmtId="0" fontId="0" fillId="0" borderId="0" xfId="0"/>
    <xf numFmtId="0" fontId="1" fillId="0" borderId="0" xfId="0" applyFont="1"/>
    <xf numFmtId="0" fontId="0" fillId="0" borderId="6" xfId="0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justify" vertical="center" wrapText="1"/>
    </xf>
    <xf numFmtId="0" fontId="10" fillId="0" borderId="5" xfId="0" applyFont="1" applyBorder="1"/>
    <xf numFmtId="0" fontId="7" fillId="0" borderId="0" xfId="0" applyFont="1"/>
    <xf numFmtId="0" fontId="5" fillId="0" borderId="0" xfId="0" applyFont="1" applyBorder="1"/>
    <xf numFmtId="0" fontId="5" fillId="0" borderId="10" xfId="0" applyFont="1" applyBorder="1" applyProtection="1">
      <protection locked="0"/>
    </xf>
    <xf numFmtId="0" fontId="10" fillId="0" borderId="2" xfId="0" applyFont="1" applyBorder="1"/>
    <xf numFmtId="0" fontId="0" fillId="0" borderId="16" xfId="0" applyBorder="1"/>
    <xf numFmtId="0" fontId="2" fillId="0" borderId="12" xfId="0" applyFont="1" applyBorder="1" applyAlignment="1">
      <alignment horizontal="justify" vertical="center" wrapText="1"/>
    </xf>
    <xf numFmtId="0" fontId="12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0" xfId="0" applyFont="1"/>
    <xf numFmtId="0" fontId="6" fillId="0" borderId="12" xfId="0" applyFont="1" applyBorder="1" applyAlignment="1" applyProtection="1">
      <alignment vertical="center" wrapText="1"/>
      <protection locked="0"/>
    </xf>
    <xf numFmtId="164" fontId="6" fillId="0" borderId="18" xfId="0" applyNumberFormat="1" applyFont="1" applyBorder="1" applyAlignment="1" applyProtection="1">
      <alignment horizontal="left" vertical="center" wrapText="1"/>
      <protection locked="0"/>
    </xf>
    <xf numFmtId="0" fontId="6" fillId="0" borderId="17" xfId="0" applyFont="1" applyBorder="1" applyAlignment="1" applyProtection="1">
      <protection locked="0"/>
    </xf>
    <xf numFmtId="0" fontId="6" fillId="0" borderId="16" xfId="0" applyFont="1" applyBorder="1" applyAlignment="1">
      <alignment vertical="center" wrapText="1"/>
    </xf>
    <xf numFmtId="0" fontId="6" fillId="0" borderId="17" xfId="0" applyFont="1" applyBorder="1" applyAlignment="1">
      <alignment wrapText="1"/>
    </xf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/>
    <xf numFmtId="0" fontId="15" fillId="0" borderId="6" xfId="0" applyFont="1" applyBorder="1" applyAlignment="1"/>
    <xf numFmtId="0" fontId="15" fillId="0" borderId="0" xfId="0" applyFont="1" applyBorder="1"/>
    <xf numFmtId="0" fontId="15" fillId="0" borderId="6" xfId="0" applyFont="1" applyBorder="1"/>
    <xf numFmtId="0" fontId="4" fillId="2" borderId="2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/>
    </xf>
    <xf numFmtId="0" fontId="16" fillId="2" borderId="1" xfId="0" applyFont="1" applyFill="1" applyBorder="1"/>
    <xf numFmtId="0" fontId="8" fillId="2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wrapText="1"/>
    </xf>
    <xf numFmtId="49" fontId="8" fillId="3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7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/>
    </xf>
    <xf numFmtId="0" fontId="16" fillId="7" borderId="1" xfId="0" applyFont="1" applyFill="1" applyBorder="1"/>
    <xf numFmtId="0" fontId="16" fillId="8" borderId="1" xfId="0" applyFont="1" applyFill="1" applyBorder="1" applyAlignment="1">
      <alignment wrapText="1"/>
    </xf>
    <xf numFmtId="0" fontId="16" fillId="8" borderId="1" xfId="0" applyFont="1" applyFill="1" applyBorder="1"/>
    <xf numFmtId="0" fontId="11" fillId="0" borderId="0" xfId="0" applyFont="1" applyProtection="1">
      <protection hidden="1"/>
    </xf>
    <xf numFmtId="0" fontId="6" fillId="0" borderId="14" xfId="0" applyFont="1" applyBorder="1" applyAlignment="1" applyProtection="1">
      <alignment vertical="center" wrapText="1"/>
      <protection hidden="1"/>
    </xf>
    <xf numFmtId="0" fontId="6" fillId="0" borderId="10" xfId="0" applyFont="1" applyBorder="1" applyAlignment="1">
      <alignment horizontal="right"/>
    </xf>
    <xf numFmtId="0" fontId="13" fillId="0" borderId="0" xfId="0" applyFont="1" applyBorder="1" applyProtection="1">
      <protection locked="0"/>
    </xf>
    <xf numFmtId="0" fontId="0" fillId="0" borderId="16" xfId="0" applyBorder="1" applyProtection="1">
      <protection locked="0"/>
    </xf>
    <xf numFmtId="0" fontId="10" fillId="0" borderId="7" xfId="0" applyFont="1" applyBorder="1"/>
    <xf numFmtId="0" fontId="0" fillId="0" borderId="8" xfId="0" applyBorder="1" applyProtection="1">
      <protection locked="0"/>
    </xf>
    <xf numFmtId="0" fontId="18" fillId="0" borderId="0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4" xfId="0" applyFont="1" applyBorder="1" applyAlignment="1" applyProtection="1">
      <alignment horizontal="justify" vertical="center" wrapText="1"/>
      <protection locked="0"/>
    </xf>
    <xf numFmtId="0" fontId="12" fillId="0" borderId="24" xfId="0" applyFont="1" applyBorder="1" applyAlignment="1">
      <alignment vertical="center" wrapText="1"/>
    </xf>
    <xf numFmtId="0" fontId="0" fillId="0" borderId="0" xfId="0" applyBorder="1" applyAlignment="1"/>
    <xf numFmtId="0" fontId="0" fillId="0" borderId="6" xfId="0" applyBorder="1" applyAlignment="1"/>
    <xf numFmtId="0" fontId="15" fillId="0" borderId="0" xfId="0" applyFont="1" applyBorder="1" applyAlignment="1" applyProtection="1">
      <alignment horizontal="left"/>
      <protection locked="0"/>
    </xf>
    <xf numFmtId="0" fontId="0" fillId="0" borderId="1" xfId="0" applyBorder="1"/>
    <xf numFmtId="0" fontId="8" fillId="6" borderId="1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 vertical="center" wrapText="1"/>
    </xf>
    <xf numFmtId="0" fontId="18" fillId="0" borderId="0" xfId="0" applyFont="1" applyBorder="1" applyAlignment="1">
      <alignment horizontal="center" vertical="center" wrapText="1"/>
    </xf>
    <xf numFmtId="0" fontId="13" fillId="0" borderId="19" xfId="0" applyFont="1" applyBorder="1" applyAlignment="1" applyProtection="1">
      <alignment horizontal="left"/>
      <protection locked="0"/>
    </xf>
    <xf numFmtId="0" fontId="13" fillId="0" borderId="20" xfId="0" applyFont="1" applyBorder="1" applyAlignment="1" applyProtection="1">
      <alignment horizontal="left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3" fillId="0" borderId="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10" fillId="0" borderId="2" xfId="0" applyFont="1" applyBorder="1" applyAlignment="1" applyProtection="1">
      <alignment horizontal="left" vertical="top" wrapText="1"/>
      <protection locked="0"/>
    </xf>
    <xf numFmtId="0" fontId="10" fillId="0" borderId="4" xfId="0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 applyProtection="1">
      <alignment horizontal="left" vertical="top" wrapText="1"/>
      <protection locked="0"/>
    </xf>
    <xf numFmtId="0" fontId="10" fillId="0" borderId="9" xfId="0" applyFont="1" applyBorder="1" applyAlignment="1" applyProtection="1">
      <alignment horizontal="left" vertical="top" wrapText="1"/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top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3" fillId="0" borderId="15" xfId="0" applyFont="1" applyBorder="1" applyAlignment="1" applyProtection="1">
      <alignment horizontal="left" vertical="top" wrapText="1"/>
      <protection hidden="1"/>
    </xf>
    <xf numFmtId="0" fontId="3" fillId="0" borderId="17" xfId="0" applyFont="1" applyBorder="1" applyAlignment="1" applyProtection="1">
      <alignment horizontal="left" vertical="top" wrapText="1"/>
      <protection hidden="1"/>
    </xf>
    <xf numFmtId="0" fontId="7" fillId="0" borderId="0" xfId="0" applyFont="1" applyBorder="1" applyAlignment="1">
      <alignment horizontal="center" wrapText="1"/>
    </xf>
    <xf numFmtId="0" fontId="22" fillId="0" borderId="25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0" fillId="0" borderId="2" xfId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6" fillId="0" borderId="17" xfId="0" applyFont="1" applyBorder="1" applyAlignment="1" applyProtection="1">
      <alignment horizontal="left" vertical="center" wrapText="1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232318</xdr:colOff>
      <xdr:row>4</xdr:row>
      <xdr:rowOff>69694</xdr:rowOff>
    </xdr:from>
    <xdr:to>
      <xdr:col>13</xdr:col>
      <xdr:colOff>1050308</xdr:colOff>
      <xdr:row>6</xdr:row>
      <xdr:rowOff>58079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0B9C89D0-2FE0-4A4E-A760-B3885C0C7FD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777" b="88753"/>
        <a:stretch/>
      </xdr:blipFill>
      <xdr:spPr>
        <a:xfrm>
          <a:off x="13021373" y="453017"/>
          <a:ext cx="3891311" cy="778263"/>
        </a:xfrm>
        <a:prstGeom prst="rect">
          <a:avLst/>
        </a:prstGeom>
      </xdr:spPr>
    </xdr:pic>
    <xdr:clientData/>
  </xdr:twoCellAnchor>
  <xdr:twoCellAnchor editAs="oneCell">
    <xdr:from>
      <xdr:col>13</xdr:col>
      <xdr:colOff>1010580</xdr:colOff>
      <xdr:row>4</xdr:row>
      <xdr:rowOff>174238</xdr:rowOff>
    </xdr:from>
    <xdr:to>
      <xdr:col>14</xdr:col>
      <xdr:colOff>798473</xdr:colOff>
      <xdr:row>5</xdr:row>
      <xdr:rowOff>369850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EA1237-DE21-46A8-8D2F-E0CB015AEB5F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02"/>
        <a:stretch/>
      </xdr:blipFill>
      <xdr:spPr bwMode="auto">
        <a:xfrm>
          <a:off x="11453232" y="557561"/>
          <a:ext cx="2924175" cy="5905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22</xdr:col>
      <xdr:colOff>0</xdr:colOff>
      <xdr:row>9</xdr:row>
      <xdr:rowOff>154782</xdr:rowOff>
    </xdr:from>
    <xdr:to>
      <xdr:col>29</xdr:col>
      <xdr:colOff>261936</xdr:colOff>
      <xdr:row>12</xdr:row>
      <xdr:rowOff>250032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0C6C5B-894B-4F21-9837-E8F299071D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3640" b="8034"/>
        <a:stretch/>
      </xdr:blipFill>
      <xdr:spPr>
        <a:xfrm>
          <a:off x="25157906" y="2976563"/>
          <a:ext cx="4512468" cy="152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232318</xdr:colOff>
      <xdr:row>4</xdr:row>
      <xdr:rowOff>69694</xdr:rowOff>
    </xdr:from>
    <xdr:to>
      <xdr:col>13</xdr:col>
      <xdr:colOff>1050308</xdr:colOff>
      <xdr:row>6</xdr:row>
      <xdr:rowOff>58079</xdr:rowOff>
    </xdr:to>
    <xdr:pic>
      <xdr:nvPicPr>
        <xdr:cNvPr id="2" name="Imagen 1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CCA1A6D3-CE0C-4A7D-A4DD-9C70946594F1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777" b="88753"/>
        <a:stretch/>
      </xdr:blipFill>
      <xdr:spPr>
        <a:xfrm>
          <a:off x="10509793" y="860269"/>
          <a:ext cx="3885040" cy="788485"/>
        </a:xfrm>
        <a:prstGeom prst="rect">
          <a:avLst/>
        </a:prstGeom>
      </xdr:spPr>
    </xdr:pic>
    <xdr:clientData/>
  </xdr:twoCellAnchor>
  <xdr:twoCellAnchor editAs="oneCell">
    <xdr:from>
      <xdr:col>13</xdr:col>
      <xdr:colOff>1010580</xdr:colOff>
      <xdr:row>4</xdr:row>
      <xdr:rowOff>174238</xdr:rowOff>
    </xdr:from>
    <xdr:to>
      <xdr:col>14</xdr:col>
      <xdr:colOff>798473</xdr:colOff>
      <xdr:row>5</xdr:row>
      <xdr:rowOff>369850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25244-C3CF-4E29-AB4C-DFB84E8C04A2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02"/>
        <a:stretch/>
      </xdr:blipFill>
      <xdr:spPr bwMode="auto">
        <a:xfrm>
          <a:off x="14355105" y="964813"/>
          <a:ext cx="2921618" cy="59566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22</xdr:col>
      <xdr:colOff>0</xdr:colOff>
      <xdr:row>9</xdr:row>
      <xdr:rowOff>154782</xdr:rowOff>
    </xdr:from>
    <xdr:to>
      <xdr:col>29</xdr:col>
      <xdr:colOff>261936</xdr:colOff>
      <xdr:row>12</xdr:row>
      <xdr:rowOff>250032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8D769E8-25A8-4447-AEBE-015CC7EBD9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3640" b="8034"/>
        <a:stretch/>
      </xdr:blipFill>
      <xdr:spPr>
        <a:xfrm>
          <a:off x="25174575" y="2945607"/>
          <a:ext cx="4529136" cy="15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  <wetp:taskpane dockstate="right" visibility="0" width="350" row="6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E513A466-7755-4DE6-BF0A-31879BA016C2}">
  <we:reference id="wa200005271" version="2.5.5.0" store="es-E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AEEF2A4-7DCD-4527-B39F-DA546BBD9135}">
  <we:reference id="wa200001584" version="3.0.4.6" store="es-ES" storeType="OMEX"/>
  <we:alternateReferences>
    <we:reference id="WA200001584" version="3.0.4.6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CD1AED7-D89D-45DA-A013-E805192BF504}">
  <we:reference id="wa200003987" version="1.0.0.5" store="es-E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7FAF3258-3841-42B3-8654-13430ADFE393}">
  <we:reference id="wa200007427" version="1.0.0.4" store="es-ES" storeType="OMEX"/>
  <we:alternateReferences>
    <we:reference id="WA200007427" version="1.0.0.4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youtu.be/wF6TR_aaiRc" TargetMode="External"/><Relationship Id="rId1" Type="http://schemas.openxmlformats.org/officeDocument/2006/relationships/hyperlink" Target="mailto:ctp.desabalito@mep.go.cr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youtu.be/wF6TR_aaiRc" TargetMode="External"/><Relationship Id="rId1" Type="http://schemas.openxmlformats.org/officeDocument/2006/relationships/hyperlink" Target="mailto:ctp.desabalito@mep.go.cr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2F5E-F336-4A0A-8D70-37683F0A3D1B}">
  <dimension ref="A1:E102"/>
  <sheetViews>
    <sheetView tabSelected="1" topLeftCell="D1" workbookViewId="0">
      <selection activeCell="E20" sqref="E20"/>
    </sheetView>
  </sheetViews>
  <sheetFormatPr baseColWidth="10" defaultRowHeight="15" x14ac:dyDescent="0.25"/>
  <cols>
    <col min="1" max="1" width="6.28515625" customWidth="1"/>
    <col min="2" max="2" width="50.140625" customWidth="1"/>
    <col min="3" max="3" width="17.140625" customWidth="1"/>
    <col min="4" max="4" width="23.42578125" customWidth="1"/>
    <col min="5" max="5" width="93.140625" customWidth="1"/>
    <col min="6" max="6" width="51.85546875" customWidth="1"/>
  </cols>
  <sheetData>
    <row r="1" spans="1:5" x14ac:dyDescent="0.25">
      <c r="B1" s="37" t="s">
        <v>211</v>
      </c>
      <c r="C1" s="38" t="s">
        <v>212</v>
      </c>
      <c r="D1" s="39" t="s">
        <v>213</v>
      </c>
      <c r="E1" s="40" t="s">
        <v>317</v>
      </c>
    </row>
    <row r="2" spans="1:5" x14ac:dyDescent="0.25">
      <c r="A2" s="72">
        <v>1</v>
      </c>
      <c r="B2" s="43" t="s">
        <v>232</v>
      </c>
      <c r="C2" s="47" t="s">
        <v>215</v>
      </c>
      <c r="D2" s="45"/>
      <c r="E2" s="73" t="s">
        <v>301</v>
      </c>
    </row>
    <row r="3" spans="1:5" x14ac:dyDescent="0.25">
      <c r="A3" s="72">
        <v>2</v>
      </c>
      <c r="B3" s="43" t="s">
        <v>233</v>
      </c>
      <c r="C3" s="47" t="s">
        <v>215</v>
      </c>
      <c r="D3" s="45"/>
      <c r="E3" s="73" t="s">
        <v>301</v>
      </c>
    </row>
    <row r="4" spans="1:5" x14ac:dyDescent="0.25">
      <c r="A4" s="72">
        <v>3</v>
      </c>
      <c r="B4" s="43" t="s">
        <v>234</v>
      </c>
      <c r="C4" s="47" t="s">
        <v>215</v>
      </c>
      <c r="D4" s="45"/>
      <c r="E4" s="73" t="s">
        <v>301</v>
      </c>
    </row>
    <row r="5" spans="1:5" x14ac:dyDescent="0.25">
      <c r="A5" s="72">
        <v>4</v>
      </c>
      <c r="B5" s="43" t="s">
        <v>235</v>
      </c>
      <c r="C5" s="47" t="s">
        <v>215</v>
      </c>
      <c r="D5" s="45"/>
      <c r="E5" s="73" t="s">
        <v>302</v>
      </c>
    </row>
    <row r="6" spans="1:5" x14ac:dyDescent="0.25">
      <c r="A6" s="72">
        <v>5</v>
      </c>
      <c r="B6" s="43" t="s">
        <v>236</v>
      </c>
      <c r="C6" s="47" t="s">
        <v>215</v>
      </c>
      <c r="D6" s="45"/>
      <c r="E6" s="73" t="s">
        <v>301</v>
      </c>
    </row>
    <row r="7" spans="1:5" x14ac:dyDescent="0.25">
      <c r="A7" s="72">
        <v>6</v>
      </c>
      <c r="B7" s="43" t="s">
        <v>237</v>
      </c>
      <c r="C7" s="47" t="s">
        <v>214</v>
      </c>
      <c r="D7" s="48"/>
      <c r="E7" s="73" t="s">
        <v>301</v>
      </c>
    </row>
    <row r="8" spans="1:5" x14ac:dyDescent="0.25">
      <c r="A8" s="72">
        <v>7</v>
      </c>
      <c r="B8" s="43" t="s">
        <v>238</v>
      </c>
      <c r="C8" s="47" t="s">
        <v>214</v>
      </c>
      <c r="D8" s="48"/>
      <c r="E8" s="73" t="s">
        <v>301</v>
      </c>
    </row>
    <row r="9" spans="1:5" x14ac:dyDescent="0.25">
      <c r="A9" s="72">
        <v>8</v>
      </c>
      <c r="B9" s="43" t="s">
        <v>239</v>
      </c>
      <c r="C9" s="47" t="s">
        <v>214</v>
      </c>
      <c r="D9" s="45"/>
      <c r="E9" s="73" t="s">
        <v>301</v>
      </c>
    </row>
    <row r="10" spans="1:5" x14ac:dyDescent="0.25">
      <c r="A10" s="72">
        <v>9</v>
      </c>
      <c r="B10" s="43" t="s">
        <v>240</v>
      </c>
      <c r="C10" s="47" t="s">
        <v>241</v>
      </c>
      <c r="D10" s="48"/>
      <c r="E10" s="73" t="s">
        <v>303</v>
      </c>
    </row>
    <row r="11" spans="1:5" x14ac:dyDescent="0.25">
      <c r="A11" s="72">
        <v>10</v>
      </c>
      <c r="B11" s="43" t="s">
        <v>242</v>
      </c>
      <c r="C11" s="47" t="s">
        <v>214</v>
      </c>
      <c r="D11" s="48"/>
      <c r="E11" s="73" t="s">
        <v>301</v>
      </c>
    </row>
    <row r="12" spans="1:5" x14ac:dyDescent="0.25">
      <c r="A12" s="72">
        <v>11</v>
      </c>
      <c r="B12" s="43" t="s">
        <v>243</v>
      </c>
      <c r="C12" s="47" t="s">
        <v>214</v>
      </c>
      <c r="D12" s="48"/>
      <c r="E12" s="73" t="s">
        <v>301</v>
      </c>
    </row>
    <row r="13" spans="1:5" x14ac:dyDescent="0.25">
      <c r="A13" s="72">
        <v>12</v>
      </c>
      <c r="B13" s="43" t="s">
        <v>244</v>
      </c>
      <c r="C13" s="47" t="s">
        <v>216</v>
      </c>
      <c r="D13" s="45"/>
      <c r="E13" s="73" t="s">
        <v>301</v>
      </c>
    </row>
    <row r="14" spans="1:5" x14ac:dyDescent="0.25">
      <c r="A14" s="72">
        <v>13</v>
      </c>
      <c r="B14" s="43" t="s">
        <v>245</v>
      </c>
      <c r="C14" s="47" t="s">
        <v>216</v>
      </c>
      <c r="D14" s="49"/>
      <c r="E14" s="74" t="s">
        <v>301</v>
      </c>
    </row>
    <row r="15" spans="1:5" ht="30" x14ac:dyDescent="0.25">
      <c r="A15" s="72">
        <v>14</v>
      </c>
      <c r="B15" s="43" t="s">
        <v>246</v>
      </c>
      <c r="C15" s="47" t="s">
        <v>216</v>
      </c>
      <c r="D15" s="49"/>
      <c r="E15" s="74" t="s">
        <v>304</v>
      </c>
    </row>
    <row r="16" spans="1:5" x14ac:dyDescent="0.25">
      <c r="A16" s="72">
        <v>15</v>
      </c>
      <c r="B16" s="43" t="s">
        <v>247</v>
      </c>
      <c r="C16" s="47" t="s">
        <v>216</v>
      </c>
      <c r="D16" s="48"/>
      <c r="E16" s="73" t="s">
        <v>301</v>
      </c>
    </row>
    <row r="17" spans="1:5" x14ac:dyDescent="0.25">
      <c r="A17" s="72">
        <v>16</v>
      </c>
      <c r="B17" s="43" t="s">
        <v>248</v>
      </c>
      <c r="C17" s="47" t="s">
        <v>216</v>
      </c>
      <c r="D17" s="49"/>
      <c r="E17" s="74" t="s">
        <v>301</v>
      </c>
    </row>
    <row r="18" spans="1:5" x14ac:dyDescent="0.25">
      <c r="A18" s="72">
        <v>17</v>
      </c>
      <c r="B18" s="43" t="s">
        <v>249</v>
      </c>
      <c r="C18" s="47" t="s">
        <v>216</v>
      </c>
      <c r="D18" s="49"/>
      <c r="E18" s="74" t="s">
        <v>301</v>
      </c>
    </row>
    <row r="19" spans="1:5" x14ac:dyDescent="0.25">
      <c r="A19" s="72">
        <v>18</v>
      </c>
      <c r="B19" s="50" t="s">
        <v>250</v>
      </c>
      <c r="C19" s="44" t="s">
        <v>216</v>
      </c>
      <c r="D19" s="49"/>
      <c r="E19" s="74" t="s">
        <v>301</v>
      </c>
    </row>
    <row r="20" spans="1:5" ht="45" x14ac:dyDescent="0.25">
      <c r="A20" s="72">
        <v>19</v>
      </c>
      <c r="B20" s="50" t="s">
        <v>251</v>
      </c>
      <c r="C20" s="44" t="s">
        <v>216</v>
      </c>
      <c r="D20" s="49"/>
      <c r="E20" s="74" t="s">
        <v>305</v>
      </c>
    </row>
    <row r="21" spans="1:5" ht="30" x14ac:dyDescent="0.25">
      <c r="A21" s="72">
        <v>20</v>
      </c>
      <c r="B21" s="50" t="s">
        <v>252</v>
      </c>
      <c r="C21" s="44" t="s">
        <v>216</v>
      </c>
      <c r="D21" s="48"/>
      <c r="E21" s="74" t="s">
        <v>306</v>
      </c>
    </row>
    <row r="22" spans="1:5" x14ac:dyDescent="0.25">
      <c r="A22" s="72">
        <v>21</v>
      </c>
      <c r="B22" s="50" t="s">
        <v>253</v>
      </c>
      <c r="C22" s="44" t="s">
        <v>216</v>
      </c>
      <c r="D22" s="51"/>
      <c r="E22" s="74" t="s">
        <v>301</v>
      </c>
    </row>
    <row r="23" spans="1:5" x14ac:dyDescent="0.25">
      <c r="A23" s="72">
        <v>22</v>
      </c>
      <c r="B23" s="50" t="s">
        <v>254</v>
      </c>
      <c r="C23" s="44" t="s">
        <v>216</v>
      </c>
      <c r="D23" s="49"/>
      <c r="E23" s="74" t="s">
        <v>301</v>
      </c>
    </row>
    <row r="24" spans="1:5" x14ac:dyDescent="0.25">
      <c r="A24" s="72">
        <v>23</v>
      </c>
      <c r="B24" s="50" t="s">
        <v>255</v>
      </c>
      <c r="C24" s="44" t="s">
        <v>220</v>
      </c>
      <c r="D24" s="48"/>
      <c r="E24" s="74" t="s">
        <v>301</v>
      </c>
    </row>
    <row r="25" spans="1:5" x14ac:dyDescent="0.25">
      <c r="A25" s="72">
        <v>24</v>
      </c>
      <c r="B25" s="50" t="s">
        <v>256</v>
      </c>
      <c r="C25" s="44" t="s">
        <v>220</v>
      </c>
      <c r="D25" s="48"/>
      <c r="E25" s="74" t="s">
        <v>301</v>
      </c>
    </row>
    <row r="26" spans="1:5" x14ac:dyDescent="0.25">
      <c r="A26" s="72">
        <v>25</v>
      </c>
      <c r="B26" s="50" t="s">
        <v>257</v>
      </c>
      <c r="C26" s="44" t="s">
        <v>220</v>
      </c>
      <c r="D26" s="48"/>
      <c r="E26" s="74" t="s">
        <v>301</v>
      </c>
    </row>
    <row r="27" spans="1:5" x14ac:dyDescent="0.25">
      <c r="A27" s="72">
        <v>26</v>
      </c>
      <c r="B27" s="50" t="s">
        <v>258</v>
      </c>
      <c r="C27" s="44" t="s">
        <v>220</v>
      </c>
      <c r="D27" s="49"/>
      <c r="E27" s="74" t="s">
        <v>301</v>
      </c>
    </row>
    <row r="28" spans="1:5" x14ac:dyDescent="0.25">
      <c r="A28" s="72">
        <v>27</v>
      </c>
      <c r="B28" s="50" t="s">
        <v>259</v>
      </c>
      <c r="C28" s="44" t="s">
        <v>222</v>
      </c>
      <c r="D28" s="49"/>
      <c r="E28" s="74" t="s">
        <v>301</v>
      </c>
    </row>
    <row r="29" spans="1:5" x14ac:dyDescent="0.25">
      <c r="A29" s="72">
        <v>28</v>
      </c>
      <c r="B29" s="43" t="s">
        <v>260</v>
      </c>
      <c r="C29" s="44" t="s">
        <v>222</v>
      </c>
      <c r="D29" s="52"/>
      <c r="E29" s="74" t="s">
        <v>301</v>
      </c>
    </row>
    <row r="30" spans="1:5" x14ac:dyDescent="0.25">
      <c r="A30" s="72">
        <v>29</v>
      </c>
      <c r="B30" s="43" t="s">
        <v>261</v>
      </c>
      <c r="C30" s="47" t="s">
        <v>262</v>
      </c>
      <c r="D30" s="52"/>
      <c r="E30" s="73" t="s">
        <v>301</v>
      </c>
    </row>
    <row r="31" spans="1:5" x14ac:dyDescent="0.25">
      <c r="A31" s="72">
        <v>30</v>
      </c>
      <c r="B31" s="43" t="s">
        <v>263</v>
      </c>
      <c r="C31" s="44" t="s">
        <v>262</v>
      </c>
      <c r="D31" s="52"/>
      <c r="E31" s="74" t="s">
        <v>307</v>
      </c>
    </row>
    <row r="32" spans="1:5" x14ac:dyDescent="0.25">
      <c r="A32" s="72">
        <v>31</v>
      </c>
      <c r="B32" s="43" t="s">
        <v>264</v>
      </c>
      <c r="C32" s="47" t="s">
        <v>221</v>
      </c>
      <c r="D32" s="52"/>
      <c r="E32" s="73" t="s">
        <v>301</v>
      </c>
    </row>
    <row r="33" spans="1:5" x14ac:dyDescent="0.25">
      <c r="A33" s="72">
        <v>32</v>
      </c>
      <c r="B33" s="43" t="s">
        <v>265</v>
      </c>
      <c r="C33" s="47" t="s">
        <v>221</v>
      </c>
      <c r="D33" s="52"/>
      <c r="E33" s="73" t="s">
        <v>301</v>
      </c>
    </row>
    <row r="34" spans="1:5" x14ac:dyDescent="0.25">
      <c r="A34" s="72">
        <v>33</v>
      </c>
      <c r="B34" s="43" t="s">
        <v>266</v>
      </c>
      <c r="C34" s="47" t="s">
        <v>217</v>
      </c>
      <c r="D34" s="45"/>
      <c r="E34" s="73" t="s">
        <v>301</v>
      </c>
    </row>
    <row r="35" spans="1:5" x14ac:dyDescent="0.25">
      <c r="A35" s="72">
        <v>34</v>
      </c>
      <c r="B35" s="43" t="s">
        <v>267</v>
      </c>
      <c r="C35" s="47" t="s">
        <v>217</v>
      </c>
      <c r="D35" s="45"/>
      <c r="E35" s="73" t="s">
        <v>301</v>
      </c>
    </row>
    <row r="36" spans="1:5" x14ac:dyDescent="0.25">
      <c r="A36" s="72">
        <v>35</v>
      </c>
      <c r="B36" s="43" t="s">
        <v>268</v>
      </c>
      <c r="C36" s="47" t="s">
        <v>217</v>
      </c>
      <c r="D36" s="45"/>
      <c r="E36" s="73" t="s">
        <v>301</v>
      </c>
    </row>
    <row r="37" spans="1:5" x14ac:dyDescent="0.25">
      <c r="A37" s="72">
        <v>36</v>
      </c>
      <c r="B37" s="43" t="s">
        <v>269</v>
      </c>
      <c r="C37" s="47" t="s">
        <v>217</v>
      </c>
      <c r="D37" s="53"/>
      <c r="E37" s="73" t="s">
        <v>301</v>
      </c>
    </row>
    <row r="38" spans="1:5" x14ac:dyDescent="0.25">
      <c r="A38" s="72">
        <v>37</v>
      </c>
      <c r="B38" s="43" t="s">
        <v>270</v>
      </c>
      <c r="C38" s="47" t="s">
        <v>218</v>
      </c>
      <c r="D38" s="52"/>
      <c r="E38" s="73" t="s">
        <v>301</v>
      </c>
    </row>
    <row r="39" spans="1:5" x14ac:dyDescent="0.25">
      <c r="A39" s="72">
        <v>38</v>
      </c>
      <c r="B39" s="50" t="s">
        <v>271</v>
      </c>
      <c r="C39" s="47" t="s">
        <v>218</v>
      </c>
      <c r="D39" s="53"/>
      <c r="E39" s="73" t="s">
        <v>301</v>
      </c>
    </row>
    <row r="40" spans="1:5" x14ac:dyDescent="0.25">
      <c r="A40" s="72">
        <v>39</v>
      </c>
      <c r="B40" s="43" t="s">
        <v>272</v>
      </c>
      <c r="C40" s="47" t="s">
        <v>218</v>
      </c>
      <c r="D40" s="53"/>
      <c r="E40" s="73" t="s">
        <v>301</v>
      </c>
    </row>
    <row r="41" spans="1:5" x14ac:dyDescent="0.25">
      <c r="A41" s="72">
        <v>40</v>
      </c>
      <c r="B41" s="43" t="s">
        <v>273</v>
      </c>
      <c r="C41" s="47" t="s">
        <v>223</v>
      </c>
      <c r="D41" s="52"/>
      <c r="E41" s="73" t="s">
        <v>301</v>
      </c>
    </row>
    <row r="42" spans="1:5" x14ac:dyDescent="0.25">
      <c r="A42" s="72">
        <v>41</v>
      </c>
      <c r="B42" s="43" t="s">
        <v>274</v>
      </c>
      <c r="C42" s="47" t="s">
        <v>223</v>
      </c>
      <c r="D42" s="52"/>
      <c r="E42" s="73" t="s">
        <v>301</v>
      </c>
    </row>
    <row r="43" spans="1:5" x14ac:dyDescent="0.25">
      <c r="A43" s="72">
        <v>42</v>
      </c>
      <c r="B43" s="43" t="s">
        <v>275</v>
      </c>
      <c r="C43" s="47" t="s">
        <v>276</v>
      </c>
      <c r="D43" s="52"/>
      <c r="E43" s="73" t="s">
        <v>308</v>
      </c>
    </row>
    <row r="44" spans="1:5" x14ac:dyDescent="0.25">
      <c r="A44" s="72">
        <v>43</v>
      </c>
      <c r="B44" s="43" t="s">
        <v>277</v>
      </c>
      <c r="C44" s="47" t="s">
        <v>219</v>
      </c>
      <c r="D44" s="52"/>
      <c r="E44" s="73" t="s">
        <v>301</v>
      </c>
    </row>
    <row r="45" spans="1:5" x14ac:dyDescent="0.25">
      <c r="A45" s="72">
        <v>44</v>
      </c>
      <c r="B45" s="43" t="s">
        <v>278</v>
      </c>
      <c r="C45" s="44" t="s">
        <v>219</v>
      </c>
      <c r="D45" s="52"/>
      <c r="E45" s="73" t="s">
        <v>309</v>
      </c>
    </row>
    <row r="46" spans="1:5" x14ac:dyDescent="0.25">
      <c r="A46" s="72">
        <v>45</v>
      </c>
      <c r="B46" s="43" t="s">
        <v>279</v>
      </c>
      <c r="C46" s="44" t="s">
        <v>219</v>
      </c>
      <c r="D46" s="45"/>
      <c r="E46" s="73" t="s">
        <v>301</v>
      </c>
    </row>
    <row r="47" spans="1:5" x14ac:dyDescent="0.25">
      <c r="A47" s="72">
        <v>46</v>
      </c>
      <c r="B47" s="43" t="s">
        <v>280</v>
      </c>
      <c r="C47" s="44" t="s">
        <v>219</v>
      </c>
      <c r="D47" s="45"/>
      <c r="E47" s="73" t="s">
        <v>301</v>
      </c>
    </row>
    <row r="48" spans="1:5" x14ac:dyDescent="0.25">
      <c r="A48" s="72">
        <v>47</v>
      </c>
      <c r="B48" s="43" t="s">
        <v>281</v>
      </c>
      <c r="C48" s="44" t="s">
        <v>282</v>
      </c>
      <c r="D48" s="52"/>
      <c r="E48" s="73" t="s">
        <v>301</v>
      </c>
    </row>
    <row r="49" spans="1:5" x14ac:dyDescent="0.25">
      <c r="A49" s="72">
        <v>48</v>
      </c>
      <c r="B49" s="43" t="s">
        <v>283</v>
      </c>
      <c r="C49" s="47" t="s">
        <v>282</v>
      </c>
      <c r="D49" s="45"/>
      <c r="E49" s="73" t="s">
        <v>301</v>
      </c>
    </row>
    <row r="50" spans="1:5" x14ac:dyDescent="0.25">
      <c r="A50" s="72">
        <v>49</v>
      </c>
      <c r="B50" s="43" t="s">
        <v>284</v>
      </c>
      <c r="C50" s="47" t="s">
        <v>282</v>
      </c>
      <c r="D50" s="45"/>
      <c r="E50" s="73" t="s">
        <v>301</v>
      </c>
    </row>
    <row r="51" spans="1:5" x14ac:dyDescent="0.25">
      <c r="A51" s="72">
        <v>50</v>
      </c>
      <c r="B51" s="43" t="s">
        <v>285</v>
      </c>
      <c r="C51" s="47" t="s">
        <v>282</v>
      </c>
      <c r="D51" s="45"/>
      <c r="E51" s="73" t="s">
        <v>301</v>
      </c>
    </row>
    <row r="52" spans="1:5" x14ac:dyDescent="0.25">
      <c r="A52" s="72">
        <v>51</v>
      </c>
      <c r="B52" s="43" t="s">
        <v>286</v>
      </c>
      <c r="C52" s="47" t="s">
        <v>287</v>
      </c>
      <c r="D52" s="45"/>
      <c r="E52" s="73" t="s">
        <v>301</v>
      </c>
    </row>
    <row r="53" spans="1:5" x14ac:dyDescent="0.25">
      <c r="A53" s="72">
        <v>52</v>
      </c>
      <c r="B53" s="43" t="s">
        <v>288</v>
      </c>
      <c r="C53" s="47" t="s">
        <v>287</v>
      </c>
      <c r="D53" s="45"/>
      <c r="E53" s="73" t="s">
        <v>301</v>
      </c>
    </row>
    <row r="54" spans="1:5" x14ac:dyDescent="0.25">
      <c r="A54" s="72">
        <v>53</v>
      </c>
      <c r="B54" s="43" t="s">
        <v>289</v>
      </c>
      <c r="C54" s="47" t="s">
        <v>287</v>
      </c>
      <c r="D54" s="45"/>
      <c r="E54" s="73" t="s">
        <v>301</v>
      </c>
    </row>
    <row r="55" spans="1:5" x14ac:dyDescent="0.25">
      <c r="A55" s="72">
        <v>54</v>
      </c>
      <c r="B55" s="43" t="s">
        <v>290</v>
      </c>
      <c r="C55" s="47" t="s">
        <v>287</v>
      </c>
      <c r="D55" s="45"/>
      <c r="E55" s="73" t="s">
        <v>310</v>
      </c>
    </row>
    <row r="56" spans="1:5" x14ac:dyDescent="0.25">
      <c r="A56" s="72">
        <v>55</v>
      </c>
      <c r="B56" s="43" t="s">
        <v>291</v>
      </c>
      <c r="C56" s="47" t="s">
        <v>287</v>
      </c>
      <c r="D56" s="45"/>
      <c r="E56" s="73" t="s">
        <v>301</v>
      </c>
    </row>
    <row r="57" spans="1:5" x14ac:dyDescent="0.25">
      <c r="A57" s="72">
        <v>56</v>
      </c>
      <c r="B57" s="43" t="s">
        <v>292</v>
      </c>
      <c r="C57" s="47" t="s">
        <v>287</v>
      </c>
      <c r="D57" s="45"/>
      <c r="E57" s="73" t="s">
        <v>311</v>
      </c>
    </row>
    <row r="58" spans="1:5" x14ac:dyDescent="0.25">
      <c r="A58" s="72">
        <v>57</v>
      </c>
      <c r="B58" s="43" t="s">
        <v>293</v>
      </c>
      <c r="C58" s="47" t="s">
        <v>287</v>
      </c>
      <c r="D58" s="45"/>
      <c r="E58" s="73" t="s">
        <v>301</v>
      </c>
    </row>
    <row r="59" spans="1:5" x14ac:dyDescent="0.25">
      <c r="A59" s="72">
        <v>58</v>
      </c>
      <c r="B59" s="43" t="s">
        <v>294</v>
      </c>
      <c r="C59" s="47" t="s">
        <v>224</v>
      </c>
      <c r="D59" s="45"/>
      <c r="E59" s="73" t="s">
        <v>301</v>
      </c>
    </row>
    <row r="60" spans="1:5" x14ac:dyDescent="0.25">
      <c r="A60" s="72">
        <v>59</v>
      </c>
      <c r="B60" s="43" t="s">
        <v>295</v>
      </c>
      <c r="C60" s="47" t="s">
        <v>224</v>
      </c>
      <c r="D60" s="45"/>
      <c r="E60" s="73" t="s">
        <v>301</v>
      </c>
    </row>
    <row r="61" spans="1:5" x14ac:dyDescent="0.25">
      <c r="A61" s="72">
        <v>60</v>
      </c>
      <c r="B61" s="43" t="s">
        <v>296</v>
      </c>
      <c r="C61" s="47" t="s">
        <v>224</v>
      </c>
      <c r="D61" s="45"/>
      <c r="E61" s="73" t="s">
        <v>301</v>
      </c>
    </row>
    <row r="62" spans="1:5" x14ac:dyDescent="0.25">
      <c r="A62" s="72">
        <v>61</v>
      </c>
      <c r="B62" s="43" t="s">
        <v>297</v>
      </c>
      <c r="C62" s="47" t="s">
        <v>224</v>
      </c>
      <c r="D62" s="45"/>
      <c r="E62" s="73" t="s">
        <v>301</v>
      </c>
    </row>
    <row r="63" spans="1:5" x14ac:dyDescent="0.25">
      <c r="A63" s="72">
        <v>62</v>
      </c>
      <c r="B63" s="43" t="s">
        <v>298</v>
      </c>
      <c r="C63" s="47" t="s">
        <v>224</v>
      </c>
      <c r="D63" s="45"/>
      <c r="E63" s="73" t="s">
        <v>312</v>
      </c>
    </row>
    <row r="64" spans="1:5" x14ac:dyDescent="0.25">
      <c r="A64" s="72">
        <v>63</v>
      </c>
      <c r="B64" s="43" t="s">
        <v>299</v>
      </c>
      <c r="C64" s="47" t="s">
        <v>300</v>
      </c>
      <c r="D64" s="45"/>
      <c r="E64" s="73" t="s">
        <v>313</v>
      </c>
    </row>
    <row r="65" spans="1:5" x14ac:dyDescent="0.25">
      <c r="A65" s="72">
        <v>64</v>
      </c>
      <c r="B65" s="43"/>
      <c r="C65" s="47"/>
      <c r="D65" s="45"/>
      <c r="E65" s="46"/>
    </row>
    <row r="66" spans="1:5" x14ac:dyDescent="0.25">
      <c r="A66" s="72">
        <v>65</v>
      </c>
      <c r="B66" s="43"/>
      <c r="C66" s="47"/>
      <c r="D66" s="45"/>
      <c r="E66" s="46"/>
    </row>
    <row r="67" spans="1:5" x14ac:dyDescent="0.25">
      <c r="A67" s="72">
        <v>66</v>
      </c>
      <c r="B67" s="43"/>
      <c r="C67" s="47"/>
      <c r="D67" s="45"/>
      <c r="E67" s="46"/>
    </row>
    <row r="68" spans="1:5" x14ac:dyDescent="0.25">
      <c r="A68" s="72">
        <v>67</v>
      </c>
      <c r="B68" s="43"/>
      <c r="C68" s="47"/>
      <c r="D68" s="45"/>
      <c r="E68" s="46"/>
    </row>
    <row r="69" spans="1:5" x14ac:dyDescent="0.25">
      <c r="A69" s="72">
        <v>68</v>
      </c>
      <c r="B69" s="43"/>
      <c r="C69" s="47"/>
      <c r="D69" s="45"/>
      <c r="E69" s="46"/>
    </row>
    <row r="70" spans="1:5" x14ac:dyDescent="0.25">
      <c r="A70" s="72">
        <v>69</v>
      </c>
      <c r="B70" s="42"/>
      <c r="C70" s="41"/>
      <c r="D70" s="54"/>
      <c r="E70" s="55"/>
    </row>
    <row r="71" spans="1:5" x14ac:dyDescent="0.25">
      <c r="A71" s="72">
        <v>70</v>
      </c>
      <c r="B71" s="42"/>
      <c r="C71" s="41"/>
      <c r="D71" s="54"/>
      <c r="E71" s="56"/>
    </row>
    <row r="72" spans="1:5" x14ac:dyDescent="0.25">
      <c r="A72" s="72">
        <v>71</v>
      </c>
      <c r="B72" s="42"/>
      <c r="C72" s="41"/>
      <c r="D72" s="54"/>
      <c r="E72" s="56"/>
    </row>
    <row r="73" spans="1:5" x14ac:dyDescent="0.25">
      <c r="A73" s="72">
        <v>72</v>
      </c>
      <c r="B73" s="42"/>
      <c r="C73" s="41"/>
      <c r="D73" s="54"/>
      <c r="E73" s="56"/>
    </row>
    <row r="74" spans="1:5" x14ac:dyDescent="0.25">
      <c r="A74" s="72">
        <v>73</v>
      </c>
      <c r="B74" s="42"/>
      <c r="C74" s="41"/>
      <c r="D74" s="54"/>
      <c r="E74" s="56"/>
    </row>
    <row r="75" spans="1:5" x14ac:dyDescent="0.25">
      <c r="A75" s="72">
        <v>74</v>
      </c>
      <c r="B75" s="42"/>
      <c r="C75" s="41"/>
      <c r="D75" s="54"/>
      <c r="E75" s="56"/>
    </row>
    <row r="76" spans="1:5" x14ac:dyDescent="0.25">
      <c r="A76" s="72">
        <v>75</v>
      </c>
      <c r="B76" s="42"/>
      <c r="C76" s="41"/>
      <c r="D76" s="54"/>
      <c r="E76" s="56"/>
    </row>
    <row r="77" spans="1:5" x14ac:dyDescent="0.25">
      <c r="A77" s="72">
        <v>76</v>
      </c>
      <c r="B77" s="42"/>
      <c r="C77" s="41"/>
      <c r="D77" s="54"/>
      <c r="E77" s="56"/>
    </row>
    <row r="78" spans="1:5" x14ac:dyDescent="0.25">
      <c r="A78" s="72">
        <v>77</v>
      </c>
      <c r="B78" s="42"/>
      <c r="C78" s="41"/>
      <c r="D78" s="54"/>
      <c r="E78" s="56"/>
    </row>
    <row r="79" spans="1:5" x14ac:dyDescent="0.25">
      <c r="A79" s="72">
        <v>78</v>
      </c>
      <c r="B79" s="42"/>
      <c r="C79" s="41"/>
      <c r="D79" s="54"/>
      <c r="E79" s="56"/>
    </row>
    <row r="80" spans="1:5" x14ac:dyDescent="0.25">
      <c r="A80" s="72">
        <v>79</v>
      </c>
      <c r="B80" s="42"/>
      <c r="C80" s="41"/>
      <c r="D80" s="54"/>
      <c r="E80" s="56"/>
    </row>
    <row r="81" spans="1:5" x14ac:dyDescent="0.25">
      <c r="A81" s="72">
        <v>80</v>
      </c>
      <c r="B81" s="42"/>
      <c r="C81" s="41"/>
      <c r="D81" s="54"/>
      <c r="E81" s="56"/>
    </row>
    <row r="82" spans="1:5" x14ac:dyDescent="0.25">
      <c r="A82" s="72">
        <v>81</v>
      </c>
      <c r="B82" s="42"/>
      <c r="C82" s="41"/>
      <c r="D82" s="54"/>
      <c r="E82" s="56"/>
    </row>
    <row r="83" spans="1:5" x14ac:dyDescent="0.25">
      <c r="A83" s="72">
        <v>82</v>
      </c>
      <c r="B83" s="42"/>
      <c r="C83" s="41"/>
      <c r="D83" s="54"/>
      <c r="E83" s="56"/>
    </row>
    <row r="84" spans="1:5" x14ac:dyDescent="0.25">
      <c r="A84" s="72">
        <v>83</v>
      </c>
      <c r="B84" s="42"/>
      <c r="C84" s="41"/>
      <c r="D84" s="54"/>
      <c r="E84" s="56"/>
    </row>
    <row r="85" spans="1:5" x14ac:dyDescent="0.25">
      <c r="A85" s="72">
        <v>84</v>
      </c>
      <c r="B85" s="42"/>
      <c r="C85" s="41"/>
      <c r="D85" s="54"/>
      <c r="E85" s="56"/>
    </row>
    <row r="86" spans="1:5" x14ac:dyDescent="0.25">
      <c r="A86" s="72">
        <v>85</v>
      </c>
      <c r="B86" s="42"/>
      <c r="C86" s="41"/>
      <c r="D86" s="54"/>
      <c r="E86" s="56"/>
    </row>
    <row r="87" spans="1:5" x14ac:dyDescent="0.25">
      <c r="A87" s="72">
        <v>86</v>
      </c>
      <c r="B87" s="42"/>
      <c r="C87" s="41"/>
      <c r="D87" s="54"/>
      <c r="E87" s="56"/>
    </row>
    <row r="88" spans="1:5" x14ac:dyDescent="0.25">
      <c r="A88" s="72">
        <v>87</v>
      </c>
      <c r="B88" s="42"/>
      <c r="C88" s="41"/>
      <c r="D88" s="54"/>
      <c r="E88" s="56"/>
    </row>
    <row r="89" spans="1:5" x14ac:dyDescent="0.25">
      <c r="A89" s="72">
        <v>88</v>
      </c>
      <c r="B89" s="42"/>
      <c r="C89" s="41"/>
      <c r="D89" s="54"/>
      <c r="E89" s="56"/>
    </row>
    <row r="90" spans="1:5" x14ac:dyDescent="0.25">
      <c r="A90" s="72">
        <v>89</v>
      </c>
      <c r="B90" s="42"/>
      <c r="C90" s="41"/>
      <c r="D90" s="54"/>
      <c r="E90" s="56"/>
    </row>
    <row r="91" spans="1:5" x14ac:dyDescent="0.25">
      <c r="A91" s="72">
        <v>90</v>
      </c>
      <c r="B91" s="42"/>
      <c r="C91" s="41"/>
      <c r="D91" s="54"/>
      <c r="E91" s="56"/>
    </row>
    <row r="92" spans="1:5" x14ac:dyDescent="0.25">
      <c r="A92" s="72">
        <v>91</v>
      </c>
      <c r="B92" s="42"/>
      <c r="C92" s="41"/>
      <c r="D92" s="54"/>
      <c r="E92" s="56"/>
    </row>
    <row r="93" spans="1:5" x14ac:dyDescent="0.25">
      <c r="A93" s="72">
        <v>92</v>
      </c>
      <c r="B93" s="42"/>
      <c r="C93" s="41"/>
      <c r="D93" s="54"/>
      <c r="E93" s="56"/>
    </row>
    <row r="94" spans="1:5" x14ac:dyDescent="0.25">
      <c r="A94" s="72">
        <v>93</v>
      </c>
      <c r="B94" s="42"/>
      <c r="C94" s="41"/>
      <c r="D94" s="54"/>
      <c r="E94" s="56"/>
    </row>
    <row r="95" spans="1:5" x14ac:dyDescent="0.25">
      <c r="A95" s="72">
        <v>94</v>
      </c>
      <c r="B95" s="42"/>
      <c r="C95" s="41"/>
      <c r="D95" s="54"/>
      <c r="E95" s="56"/>
    </row>
    <row r="96" spans="1:5" x14ac:dyDescent="0.25">
      <c r="A96" s="72">
        <v>95</v>
      </c>
      <c r="B96" s="42"/>
      <c r="C96" s="41"/>
      <c r="D96" s="54"/>
      <c r="E96" s="56"/>
    </row>
    <row r="97" spans="1:5" x14ac:dyDescent="0.25">
      <c r="A97" s="72">
        <v>96</v>
      </c>
      <c r="B97" s="42"/>
      <c r="C97" s="41"/>
      <c r="D97" s="54"/>
      <c r="E97" s="56"/>
    </row>
    <row r="98" spans="1:5" x14ac:dyDescent="0.25">
      <c r="A98" s="72">
        <v>97</v>
      </c>
      <c r="B98" s="42"/>
      <c r="C98" s="41"/>
      <c r="D98" s="54"/>
      <c r="E98" s="56"/>
    </row>
    <row r="99" spans="1:5" x14ac:dyDescent="0.25">
      <c r="A99" s="72">
        <v>98</v>
      </c>
      <c r="B99" s="42"/>
      <c r="C99" s="41"/>
      <c r="D99" s="54"/>
      <c r="E99" s="56"/>
    </row>
    <row r="100" spans="1:5" x14ac:dyDescent="0.25">
      <c r="A100" s="72">
        <v>99</v>
      </c>
      <c r="B100" s="42"/>
      <c r="C100" s="41"/>
      <c r="D100" s="54"/>
      <c r="E100" s="56"/>
    </row>
    <row r="101" spans="1:5" x14ac:dyDescent="0.25">
      <c r="A101" s="72">
        <v>100</v>
      </c>
      <c r="B101" s="42"/>
      <c r="C101" s="41"/>
      <c r="D101" s="54"/>
      <c r="E101" s="56"/>
    </row>
    <row r="102" spans="1:5" x14ac:dyDescent="0.25">
      <c r="A102" s="72">
        <v>101</v>
      </c>
      <c r="B102" s="42"/>
      <c r="C102" s="41"/>
      <c r="D102" s="54"/>
      <c r="E102" s="56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5C77-7F08-4593-B6A8-87F59D50717D}">
  <dimension ref="A1:V198"/>
  <sheetViews>
    <sheetView showGridLines="0" topLeftCell="D1" zoomScale="80" zoomScaleNormal="80" zoomScaleSheetLayoutView="80" zoomScalePageLayoutView="60" workbookViewId="0">
      <selection activeCell="N10" sqref="N10:O10"/>
    </sheetView>
  </sheetViews>
  <sheetFormatPr baseColWidth="10" defaultColWidth="9.140625" defaultRowHeight="15" x14ac:dyDescent="0.25"/>
  <cols>
    <col min="2" max="2" width="92.140625" customWidth="1"/>
    <col min="4" max="9" width="7.28515625" customWidth="1"/>
    <col min="10" max="10" width="9.7109375" customWidth="1"/>
    <col min="11" max="11" width="12.85546875" customWidth="1"/>
    <col min="12" max="12" width="0.5703125" hidden="1" customWidth="1"/>
    <col min="13" max="13" width="23.42578125" customWidth="1"/>
    <col min="14" max="14" width="47" customWidth="1"/>
    <col min="15" max="15" width="37" customWidth="1"/>
    <col min="16" max="16" width="38" customWidth="1"/>
    <col min="17" max="17" width="9.7109375" customWidth="1"/>
    <col min="19" max="23" width="9.140625" customWidth="1"/>
  </cols>
  <sheetData>
    <row r="1" spans="1:22" x14ac:dyDescent="0.25">
      <c r="N1" s="122" t="s">
        <v>231</v>
      </c>
      <c r="O1" s="123"/>
    </row>
    <row r="2" spans="1:22" ht="15.75" thickBot="1" x14ac:dyDescent="0.3">
      <c r="N2" s="124"/>
      <c r="O2" s="125"/>
    </row>
    <row r="3" spans="1:22" ht="15.75" thickBot="1" x14ac:dyDescent="0.3">
      <c r="B3" s="120" t="s">
        <v>230</v>
      </c>
      <c r="N3" s="126"/>
      <c r="O3" s="127"/>
    </row>
    <row r="4" spans="1:22" ht="15.75" thickBot="1" x14ac:dyDescent="0.3">
      <c r="B4" s="121"/>
      <c r="Q4" s="1"/>
      <c r="U4" s="57" t="str">
        <f>IFERROR(INDEX('LISTA DE ESTUDIANTES'!$C$2:$C$102, MATCH($N$10,'LISTA DE ESTUDIANTES'!B2:B102, 0)), " ")</f>
        <v>8-1</v>
      </c>
    </row>
    <row r="5" spans="1:22" ht="32.1" customHeight="1" thickBot="1" x14ac:dyDescent="0.3">
      <c r="A5" s="23"/>
      <c r="B5" s="68" t="s">
        <v>110</v>
      </c>
      <c r="C5" s="106" t="s">
        <v>228</v>
      </c>
      <c r="D5" s="107"/>
      <c r="E5" s="107"/>
      <c r="F5" s="108"/>
      <c r="G5" s="64"/>
      <c r="H5" s="64"/>
      <c r="J5" s="3"/>
      <c r="K5" s="4"/>
      <c r="L5" s="4"/>
      <c r="M5" s="4"/>
      <c r="N5" s="4"/>
      <c r="O5" s="4"/>
      <c r="P5" s="4"/>
      <c r="Q5" s="5"/>
    </row>
    <row r="6" spans="1:22" ht="32.1" customHeight="1" thickBot="1" x14ac:dyDescent="0.3">
      <c r="A6" s="12" t="s">
        <v>14</v>
      </c>
      <c r="B6" s="65" t="s">
        <v>13</v>
      </c>
      <c r="C6" s="109"/>
      <c r="D6" s="110"/>
      <c r="E6" s="110"/>
      <c r="F6" s="111"/>
      <c r="G6" s="64"/>
      <c r="H6" s="64"/>
      <c r="J6" s="6"/>
      <c r="K6" s="7"/>
      <c r="L6" s="7"/>
      <c r="M6" s="7"/>
      <c r="N6" s="7"/>
      <c r="O6" s="7"/>
      <c r="P6" s="7"/>
      <c r="Q6" s="8"/>
      <c r="S6" s="106" t="s">
        <v>225</v>
      </c>
      <c r="T6" s="107"/>
      <c r="U6" s="107"/>
      <c r="V6" s="108"/>
    </row>
    <row r="7" spans="1:22" ht="32.1" customHeight="1" thickBot="1" x14ac:dyDescent="0.35">
      <c r="A7" s="13" t="s">
        <v>15</v>
      </c>
      <c r="B7" s="66" t="s">
        <v>16</v>
      </c>
      <c r="C7" s="109"/>
      <c r="D7" s="110"/>
      <c r="E7" s="110"/>
      <c r="F7" s="111"/>
      <c r="G7" s="64"/>
      <c r="H7" s="64"/>
      <c r="J7" s="16"/>
      <c r="K7" s="18"/>
      <c r="L7" s="18"/>
      <c r="M7" s="119" t="s">
        <v>9</v>
      </c>
      <c r="N7" s="119"/>
      <c r="O7" s="119"/>
      <c r="P7" s="18"/>
      <c r="Q7" s="8"/>
      <c r="S7" s="109"/>
      <c r="T7" s="110"/>
      <c r="U7" s="110"/>
      <c r="V7" s="111"/>
    </row>
    <row r="8" spans="1:22" ht="32.1" customHeight="1" thickBot="1" x14ac:dyDescent="0.35">
      <c r="A8" s="13" t="s">
        <v>17</v>
      </c>
      <c r="B8" s="66" t="s">
        <v>18</v>
      </c>
      <c r="C8" s="112"/>
      <c r="D8" s="113"/>
      <c r="E8" s="113"/>
      <c r="F8" s="114"/>
      <c r="G8" s="64"/>
      <c r="H8" s="64"/>
      <c r="J8" s="16"/>
      <c r="K8" s="18"/>
      <c r="L8" s="18"/>
      <c r="M8" s="18"/>
      <c r="N8" s="17" t="s">
        <v>10</v>
      </c>
      <c r="O8" s="18"/>
      <c r="P8" s="18"/>
      <c r="Q8" s="8"/>
      <c r="S8" s="109"/>
      <c r="T8" s="110"/>
      <c r="U8" s="110"/>
      <c r="V8" s="111"/>
    </row>
    <row r="9" spans="1:22" ht="32.1" customHeight="1" thickBot="1" x14ac:dyDescent="0.35">
      <c r="A9" s="13" t="s">
        <v>19</v>
      </c>
      <c r="B9" s="14" t="s">
        <v>20</v>
      </c>
      <c r="C9" s="128" t="s">
        <v>229</v>
      </c>
      <c r="D9" s="129"/>
      <c r="E9" s="129"/>
      <c r="F9" s="130"/>
      <c r="G9" s="64"/>
      <c r="H9" s="64"/>
      <c r="J9" s="16"/>
      <c r="K9" s="102" t="s">
        <v>314</v>
      </c>
      <c r="L9" s="103"/>
      <c r="M9" s="103"/>
      <c r="N9" s="103"/>
      <c r="O9" s="104"/>
      <c r="P9" s="26" t="s">
        <v>0</v>
      </c>
      <c r="Q9" s="8"/>
      <c r="S9" s="112"/>
      <c r="T9" s="113"/>
      <c r="U9" s="113"/>
      <c r="V9" s="114"/>
    </row>
    <row r="10" spans="1:22" ht="32.1" customHeight="1" thickBot="1" x14ac:dyDescent="0.35">
      <c r="A10" s="13" t="s">
        <v>21</v>
      </c>
      <c r="B10" s="15" t="s">
        <v>22</v>
      </c>
      <c r="C10" s="131"/>
      <c r="D10" s="132"/>
      <c r="E10" s="132"/>
      <c r="F10" s="133"/>
      <c r="G10" s="64"/>
      <c r="H10" s="64"/>
      <c r="J10" s="16"/>
      <c r="K10" s="115" t="s">
        <v>1</v>
      </c>
      <c r="L10" s="116"/>
      <c r="M10" s="116"/>
      <c r="N10" s="139" t="s">
        <v>245</v>
      </c>
      <c r="O10" s="140"/>
      <c r="P10" s="58" t="str">
        <f>+ "Sección: " &amp;$U$4</f>
        <v>Sección: 8-1</v>
      </c>
      <c r="Q10" s="8"/>
      <c r="S10" s="106" t="s">
        <v>226</v>
      </c>
      <c r="T10" s="107"/>
      <c r="U10" s="107"/>
      <c r="V10" s="108"/>
    </row>
    <row r="11" spans="1:22" ht="48.75" customHeight="1" thickBot="1" x14ac:dyDescent="0.35">
      <c r="A11" s="13" t="s">
        <v>23</v>
      </c>
      <c r="B11" s="15" t="s">
        <v>24</v>
      </c>
      <c r="C11" s="131"/>
      <c r="D11" s="132"/>
      <c r="E11" s="132"/>
      <c r="F11" s="133"/>
      <c r="G11" s="64"/>
      <c r="H11" s="64"/>
      <c r="J11" s="16"/>
      <c r="K11" s="115" t="s">
        <v>2</v>
      </c>
      <c r="L11" s="116"/>
      <c r="M11" s="116"/>
      <c r="N11" s="117" t="str">
        <f>IFERROR(INDEX('LISTA DE ESTUDIANTES'!$E$2:$E$102,MATCH($N$10,'LISTA DE ESTUDIANTES'!$B$2:$B$102, 0)), " ")</f>
        <v>Revisar Expediente</v>
      </c>
      <c r="O11" s="118"/>
      <c r="P11" s="27">
        <f ca="1">+TODAY()</f>
        <v>46158</v>
      </c>
      <c r="Q11" s="8"/>
      <c r="S11" s="109"/>
      <c r="T11" s="110"/>
      <c r="U11" s="110"/>
      <c r="V11" s="111"/>
    </row>
    <row r="12" spans="1:22" ht="31.5" customHeight="1" thickBot="1" x14ac:dyDescent="0.35">
      <c r="A12" s="13" t="s">
        <v>25</v>
      </c>
      <c r="B12" s="15" t="s">
        <v>26</v>
      </c>
      <c r="C12" s="134"/>
      <c r="D12" s="135"/>
      <c r="E12" s="135"/>
      <c r="F12" s="136"/>
      <c r="G12" s="64"/>
      <c r="H12" s="64"/>
      <c r="J12" s="16"/>
      <c r="K12" s="99" t="s">
        <v>3</v>
      </c>
      <c r="L12" s="100"/>
      <c r="M12" s="101"/>
      <c r="N12" s="19" t="s">
        <v>315</v>
      </c>
      <c r="O12" s="59" t="s">
        <v>4</v>
      </c>
      <c r="P12" s="28" t="s">
        <v>316</v>
      </c>
      <c r="Q12" s="8"/>
      <c r="S12" s="109"/>
      <c r="T12" s="110"/>
      <c r="U12" s="110"/>
      <c r="V12" s="111"/>
    </row>
    <row r="13" spans="1:22" ht="32.1" customHeight="1" thickBot="1" x14ac:dyDescent="0.35">
      <c r="A13" s="13" t="s">
        <v>27</v>
      </c>
      <c r="B13" s="15" t="s">
        <v>28</v>
      </c>
      <c r="J13" s="16"/>
      <c r="K13" s="60"/>
      <c r="L13" s="60"/>
      <c r="M13" s="141" t="s">
        <v>7</v>
      </c>
      <c r="N13" s="141"/>
      <c r="O13" s="141" t="s">
        <v>5</v>
      </c>
      <c r="P13" s="141"/>
      <c r="Q13" s="8"/>
      <c r="S13" s="112"/>
      <c r="T13" s="113"/>
      <c r="U13" s="113"/>
      <c r="V13" s="114"/>
    </row>
    <row r="14" spans="1:22" ht="32.1" customHeight="1" thickBot="1" x14ac:dyDescent="0.35">
      <c r="A14" s="13" t="s">
        <v>29</v>
      </c>
      <c r="B14" s="15" t="s">
        <v>30</v>
      </c>
      <c r="J14" s="16"/>
      <c r="K14" s="99" t="s">
        <v>6</v>
      </c>
      <c r="L14" s="100"/>
      <c r="M14" s="100"/>
      <c r="N14" s="100"/>
      <c r="O14" s="100"/>
      <c r="P14" s="101"/>
      <c r="Q14" s="8"/>
      <c r="S14" s="106" t="s">
        <v>227</v>
      </c>
      <c r="T14" s="107"/>
      <c r="U14" s="107"/>
      <c r="V14" s="108"/>
    </row>
    <row r="15" spans="1:22" ht="32.1" customHeight="1" thickBot="1" x14ac:dyDescent="0.35">
      <c r="A15" s="13" t="s">
        <v>31</v>
      </c>
      <c r="B15" s="15" t="s">
        <v>32</v>
      </c>
      <c r="J15" s="16"/>
      <c r="K15" s="144" t="s">
        <v>8</v>
      </c>
      <c r="L15" s="145"/>
      <c r="M15" s="142" t="s">
        <v>11</v>
      </c>
      <c r="N15" s="143"/>
      <c r="O15" s="29" t="s">
        <v>12</v>
      </c>
      <c r="P15" s="30"/>
      <c r="Q15" s="8"/>
      <c r="S15" s="109"/>
      <c r="T15" s="110"/>
      <c r="U15" s="110"/>
      <c r="V15" s="111"/>
    </row>
    <row r="16" spans="1:22" ht="39.950000000000003" customHeight="1" thickBot="1" x14ac:dyDescent="0.35">
      <c r="A16" s="13" t="s">
        <v>33</v>
      </c>
      <c r="B16" s="15" t="s">
        <v>34</v>
      </c>
      <c r="J16" s="16"/>
      <c r="K16" s="83" t="s">
        <v>19</v>
      </c>
      <c r="L16" s="84"/>
      <c r="M16" s="87" t="str">
        <f>IFERROR(INDEX($B$6:$B$18, MATCH(K16, $A$6:$A$18, 0)), " ")</f>
        <v xml:space="preserve">Reforzar cada logro por más pequeño que este sea. </v>
      </c>
      <c r="N16" s="88"/>
      <c r="O16" s="91"/>
      <c r="P16" s="92"/>
      <c r="Q16" s="8"/>
      <c r="S16" s="109"/>
      <c r="T16" s="110"/>
      <c r="U16" s="110"/>
      <c r="V16" s="111"/>
    </row>
    <row r="17" spans="1:22" ht="39.950000000000003" customHeight="1" thickBot="1" x14ac:dyDescent="0.35">
      <c r="A17" s="13" t="s">
        <v>35</v>
      </c>
      <c r="B17" s="15" t="s">
        <v>36</v>
      </c>
      <c r="J17" s="16"/>
      <c r="K17" s="85"/>
      <c r="L17" s="86"/>
      <c r="M17" s="89"/>
      <c r="N17" s="90"/>
      <c r="O17" s="93"/>
      <c r="P17" s="94"/>
      <c r="Q17" s="8"/>
      <c r="S17" s="112"/>
      <c r="T17" s="113"/>
      <c r="U17" s="113"/>
      <c r="V17" s="114"/>
    </row>
    <row r="18" spans="1:22" ht="39.950000000000003" customHeight="1" thickBot="1" x14ac:dyDescent="0.35">
      <c r="A18" s="13" t="s">
        <v>37</v>
      </c>
      <c r="B18" s="67" t="s">
        <v>38</v>
      </c>
      <c r="J18" s="16"/>
      <c r="K18" s="83" t="s">
        <v>17</v>
      </c>
      <c r="L18" s="84"/>
      <c r="M18" s="87" t="str">
        <f>IFERROR(INDEX($B$6:$B$18, MATCH(K18, $A$6:$A$18, 0)), " ")</f>
        <v xml:space="preserve">Brindar acercamiento físico y las manifestaciones de apoyo. </v>
      </c>
      <c r="N18" s="88"/>
      <c r="O18" s="91"/>
      <c r="P18" s="92"/>
      <c r="Q18" s="8"/>
    </row>
    <row r="19" spans="1:22" ht="39.950000000000003" customHeight="1" thickBot="1" x14ac:dyDescent="0.35">
      <c r="B19" s="25" t="s">
        <v>111</v>
      </c>
      <c r="J19" s="16"/>
      <c r="K19" s="85"/>
      <c r="L19" s="86"/>
      <c r="M19" s="89"/>
      <c r="N19" s="90"/>
      <c r="O19" s="93"/>
      <c r="P19" s="94"/>
      <c r="Q19" s="8"/>
    </row>
    <row r="20" spans="1:22" ht="39.950000000000003" customHeight="1" thickBot="1" x14ac:dyDescent="0.35">
      <c r="A20" s="12" t="s">
        <v>55</v>
      </c>
      <c r="B20" s="22" t="s">
        <v>56</v>
      </c>
      <c r="J20" s="16"/>
      <c r="K20" s="83" t="s">
        <v>15</v>
      </c>
      <c r="L20" s="84"/>
      <c r="M20" s="87" t="str">
        <f>IFERROR(INDEX($B$6:$B$18, MATCH(K20, $A$6:$A$18, 0)), " ")</f>
        <v xml:space="preserve">Utilizar la tutoría entre compañeros. </v>
      </c>
      <c r="N20" s="88"/>
      <c r="O20" s="91"/>
      <c r="P20" s="92"/>
      <c r="Q20" s="8"/>
    </row>
    <row r="21" spans="1:22" ht="39.950000000000003" customHeight="1" thickBot="1" x14ac:dyDescent="0.35">
      <c r="A21" s="13" t="s">
        <v>57</v>
      </c>
      <c r="B21" s="15" t="s">
        <v>58</v>
      </c>
      <c r="J21" s="16"/>
      <c r="K21" s="85"/>
      <c r="L21" s="86"/>
      <c r="M21" s="89"/>
      <c r="N21" s="90"/>
      <c r="O21" s="93"/>
      <c r="P21" s="94"/>
      <c r="Q21" s="8"/>
    </row>
    <row r="22" spans="1:22" ht="39.950000000000003" customHeight="1" thickBot="1" x14ac:dyDescent="0.35">
      <c r="A22" s="13" t="s">
        <v>59</v>
      </c>
      <c r="B22" s="15" t="s">
        <v>60</v>
      </c>
      <c r="J22" s="16"/>
      <c r="K22" s="83" t="s">
        <v>8</v>
      </c>
      <c r="L22" s="84"/>
      <c r="M22" s="95" t="s">
        <v>39</v>
      </c>
      <c r="N22" s="96"/>
      <c r="O22" s="95" t="s">
        <v>12</v>
      </c>
      <c r="P22" s="96"/>
      <c r="Q22" s="8"/>
    </row>
    <row r="23" spans="1:22" ht="39.950000000000003" customHeight="1" thickBot="1" x14ac:dyDescent="0.35">
      <c r="A23" s="13" t="s">
        <v>61</v>
      </c>
      <c r="B23" s="15" t="s">
        <v>62</v>
      </c>
      <c r="J23" s="16"/>
      <c r="K23" s="85"/>
      <c r="L23" s="86"/>
      <c r="M23" s="97"/>
      <c r="N23" s="98"/>
      <c r="O23" s="97"/>
      <c r="P23" s="98"/>
      <c r="Q23" s="8"/>
    </row>
    <row r="24" spans="1:22" ht="39.950000000000003" customHeight="1" thickBot="1" x14ac:dyDescent="0.35">
      <c r="A24" s="13" t="s">
        <v>63</v>
      </c>
      <c r="B24" s="14" t="s">
        <v>64</v>
      </c>
      <c r="J24" s="16"/>
      <c r="K24" s="83" t="s">
        <v>59</v>
      </c>
      <c r="L24" s="84"/>
      <c r="M24" s="87" t="str">
        <f>IFERROR(INDEX($B$20:$B$30, MATCH(K24, $A$20:$A$30, 0)), " ")</f>
        <v>Sentar al estudiante en un lugar donde tenga buena iluminación</v>
      </c>
      <c r="N24" s="88"/>
      <c r="O24" s="91"/>
      <c r="P24" s="92"/>
      <c r="Q24" s="8"/>
    </row>
    <row r="25" spans="1:22" ht="39.950000000000003" customHeight="1" thickBot="1" x14ac:dyDescent="0.35">
      <c r="A25" s="13" t="s">
        <v>65</v>
      </c>
      <c r="B25" s="15" t="s">
        <v>66</v>
      </c>
      <c r="J25" s="16"/>
      <c r="K25" s="85"/>
      <c r="L25" s="86"/>
      <c r="M25" s="89"/>
      <c r="N25" s="90"/>
      <c r="O25" s="93"/>
      <c r="P25" s="94"/>
      <c r="Q25" s="8"/>
    </row>
    <row r="26" spans="1:22" ht="39.950000000000003" customHeight="1" thickBot="1" x14ac:dyDescent="0.35">
      <c r="A26" s="13" t="s">
        <v>67</v>
      </c>
      <c r="B26" s="15" t="s">
        <v>68</v>
      </c>
      <c r="J26" s="16"/>
      <c r="K26" s="83" t="s">
        <v>67</v>
      </c>
      <c r="L26" s="84"/>
      <c r="M26" s="87" t="str">
        <f t="shared" ref="M26" si="0">IFERROR(INDEX($B$20:$B$30, MATCH(K26, $A$20:$A$30, 0)), " ")</f>
        <v>Organizar el tiempo y del espacio para mejorar el clima organizacional.</v>
      </c>
      <c r="N26" s="88"/>
      <c r="O26" s="91"/>
      <c r="P26" s="92"/>
      <c r="Q26" s="8"/>
    </row>
    <row r="27" spans="1:22" ht="39.950000000000003" customHeight="1" thickBot="1" x14ac:dyDescent="0.35">
      <c r="A27" s="13" t="s">
        <v>69</v>
      </c>
      <c r="B27" s="15" t="s">
        <v>70</v>
      </c>
      <c r="J27" s="16"/>
      <c r="K27" s="85"/>
      <c r="L27" s="86"/>
      <c r="M27" s="89"/>
      <c r="N27" s="90"/>
      <c r="O27" s="93"/>
      <c r="P27" s="94"/>
      <c r="Q27" s="8"/>
    </row>
    <row r="28" spans="1:22" ht="39.950000000000003" customHeight="1" thickBot="1" x14ac:dyDescent="0.35">
      <c r="A28" s="13" t="s">
        <v>71</v>
      </c>
      <c r="B28" s="15" t="s">
        <v>72</v>
      </c>
      <c r="J28" s="16"/>
      <c r="K28" s="83" t="s">
        <v>55</v>
      </c>
      <c r="L28" s="84"/>
      <c r="M28" s="87" t="str">
        <f t="shared" ref="M28" si="1">IFERROR(INDEX($B$20:$B$30, MATCH(K28, $A$20:$A$30, 0)), " ")</f>
        <v>Ubicar al estudiante cerca de compañeros que no se desconcentren.</v>
      </c>
      <c r="N28" s="88"/>
      <c r="O28" s="91"/>
      <c r="P28" s="92"/>
      <c r="Q28" s="8"/>
    </row>
    <row r="29" spans="1:22" ht="39.950000000000003" customHeight="1" thickBot="1" x14ac:dyDescent="0.35">
      <c r="A29" s="13" t="s">
        <v>73</v>
      </c>
      <c r="B29" s="15" t="s">
        <v>74</v>
      </c>
      <c r="J29" s="16"/>
      <c r="K29" s="85"/>
      <c r="L29" s="86"/>
      <c r="M29" s="89"/>
      <c r="N29" s="90"/>
      <c r="O29" s="93"/>
      <c r="P29" s="94"/>
      <c r="Q29" s="8"/>
    </row>
    <row r="30" spans="1:22" ht="39.950000000000003" customHeight="1" thickBot="1" x14ac:dyDescent="0.35">
      <c r="A30" s="13" t="s">
        <v>75</v>
      </c>
      <c r="B30" s="67" t="s">
        <v>76</v>
      </c>
      <c r="J30" s="16"/>
      <c r="K30" s="83" t="s">
        <v>8</v>
      </c>
      <c r="L30" s="84"/>
      <c r="M30" s="95" t="s">
        <v>112</v>
      </c>
      <c r="N30" s="96"/>
      <c r="O30" s="95" t="s">
        <v>12</v>
      </c>
      <c r="P30" s="96"/>
      <c r="Q30" s="8"/>
    </row>
    <row r="31" spans="1:22" ht="39.950000000000003" customHeight="1" thickBot="1" x14ac:dyDescent="0.35">
      <c r="J31" s="16"/>
      <c r="K31" s="85"/>
      <c r="L31" s="86"/>
      <c r="M31" s="97"/>
      <c r="N31" s="98"/>
      <c r="O31" s="97"/>
      <c r="P31" s="98"/>
      <c r="Q31" s="8"/>
    </row>
    <row r="32" spans="1:22" ht="39.950000000000003" customHeight="1" thickBot="1" x14ac:dyDescent="0.35">
      <c r="A32" s="23"/>
      <c r="B32" s="24" t="s">
        <v>77</v>
      </c>
      <c r="J32" s="16"/>
      <c r="K32" s="83" t="s">
        <v>89</v>
      </c>
      <c r="L32" s="84"/>
      <c r="M32" s="87" t="str">
        <f>IFERROR(INDEX($B$33:$B$49, MATCH(K32, $A$33:$A$49, 0)), " ")</f>
        <v>Usar láminas, mapas, gráficos y vídeos relacionados con los aprendizajes que se desarrollan.</v>
      </c>
      <c r="N32" s="88"/>
      <c r="O32" s="91"/>
      <c r="P32" s="92"/>
      <c r="Q32" s="8"/>
    </row>
    <row r="33" spans="1:17" ht="39.950000000000003" customHeight="1" thickBot="1" x14ac:dyDescent="0.35">
      <c r="A33" s="13" t="s">
        <v>75</v>
      </c>
      <c r="B33" s="15" t="s">
        <v>78</v>
      </c>
      <c r="J33" s="16"/>
      <c r="K33" s="85"/>
      <c r="L33" s="86"/>
      <c r="M33" s="89"/>
      <c r="N33" s="90"/>
      <c r="O33" s="93"/>
      <c r="P33" s="94"/>
      <c r="Q33" s="8"/>
    </row>
    <row r="34" spans="1:17" ht="39.950000000000003" customHeight="1" thickBot="1" x14ac:dyDescent="0.35">
      <c r="A34" s="13" t="s">
        <v>79</v>
      </c>
      <c r="B34" s="15" t="s">
        <v>80</v>
      </c>
      <c r="J34" s="16"/>
      <c r="K34" s="83" t="s">
        <v>103</v>
      </c>
      <c r="L34" s="84"/>
      <c r="M34" s="87" t="str">
        <f>IFERROR(INDEX($B$33:$B$49, MATCH(K34, $A$33:$A$49, 0)), " ")</f>
        <v>Facilitar material de reforzamiento para hacer en casa.</v>
      </c>
      <c r="N34" s="88"/>
      <c r="O34" s="91"/>
      <c r="P34" s="92"/>
      <c r="Q34" s="8"/>
    </row>
    <row r="35" spans="1:17" ht="39.950000000000003" customHeight="1" thickBot="1" x14ac:dyDescent="0.35">
      <c r="A35" s="13" t="s">
        <v>81</v>
      </c>
      <c r="B35" s="15" t="s">
        <v>82</v>
      </c>
      <c r="J35" s="16"/>
      <c r="K35" s="85"/>
      <c r="L35" s="86"/>
      <c r="M35" s="89"/>
      <c r="N35" s="90"/>
      <c r="O35" s="93"/>
      <c r="P35" s="94"/>
      <c r="Q35" s="8"/>
    </row>
    <row r="36" spans="1:17" ht="39.950000000000003" customHeight="1" thickBot="1" x14ac:dyDescent="0.35">
      <c r="A36" s="13" t="s">
        <v>83</v>
      </c>
      <c r="B36" s="15" t="s">
        <v>84</v>
      </c>
      <c r="J36" s="16"/>
      <c r="K36" s="83" t="s">
        <v>75</v>
      </c>
      <c r="L36" s="84"/>
      <c r="M36" s="87" t="str">
        <f>IFERROR(INDEX($B$33:$B$49, MATCH(K36, $A$33:$A$49, 0)), " ")</f>
        <v>Ampliar la letra al tamaño que el estudiante sienta mejor.</v>
      </c>
      <c r="N36" s="88"/>
      <c r="O36" s="91"/>
      <c r="P36" s="92"/>
      <c r="Q36" s="8"/>
    </row>
    <row r="37" spans="1:17" ht="39.950000000000003" customHeight="1" thickBot="1" x14ac:dyDescent="0.35">
      <c r="A37" s="13" t="s">
        <v>85</v>
      </c>
      <c r="B37" s="14" t="s">
        <v>86</v>
      </c>
      <c r="J37" s="16"/>
      <c r="K37" s="85"/>
      <c r="L37" s="86"/>
      <c r="M37" s="89"/>
      <c r="N37" s="90"/>
      <c r="O37" s="93"/>
      <c r="P37" s="94"/>
      <c r="Q37" s="8"/>
    </row>
    <row r="38" spans="1:17" ht="39.950000000000003" customHeight="1" thickBot="1" x14ac:dyDescent="0.35">
      <c r="A38" s="13" t="s">
        <v>87</v>
      </c>
      <c r="B38" s="15" t="s">
        <v>88</v>
      </c>
      <c r="J38" s="62"/>
      <c r="K38" s="63"/>
      <c r="L38" s="63"/>
      <c r="M38" s="10"/>
      <c r="N38" s="10"/>
      <c r="O38" s="10"/>
      <c r="P38" s="10"/>
      <c r="Q38" s="11"/>
    </row>
    <row r="39" spans="1:17" ht="39.950000000000003" customHeight="1" thickBot="1" x14ac:dyDescent="0.3">
      <c r="A39" s="13" t="s">
        <v>89</v>
      </c>
      <c r="B39" s="15" t="s">
        <v>90</v>
      </c>
    </row>
    <row r="40" spans="1:17" ht="39.950000000000003" customHeight="1" thickBot="1" x14ac:dyDescent="0.35">
      <c r="A40" s="13" t="s">
        <v>91</v>
      </c>
      <c r="B40" s="15" t="s">
        <v>92</v>
      </c>
      <c r="J40" s="20"/>
      <c r="K40" s="61"/>
      <c r="L40" s="61"/>
      <c r="M40" s="21"/>
      <c r="N40" s="21"/>
      <c r="O40" s="21"/>
      <c r="P40" s="21"/>
      <c r="Q40" s="5"/>
    </row>
    <row r="41" spans="1:17" ht="39.950000000000003" customHeight="1" thickBot="1" x14ac:dyDescent="0.35">
      <c r="A41" s="13" t="s">
        <v>93</v>
      </c>
      <c r="B41" s="15" t="s">
        <v>94</v>
      </c>
      <c r="J41" s="16"/>
      <c r="K41" s="83" t="s">
        <v>8</v>
      </c>
      <c r="L41" s="84"/>
      <c r="M41" s="95" t="s">
        <v>40</v>
      </c>
      <c r="N41" s="96"/>
      <c r="O41" s="95" t="s">
        <v>12</v>
      </c>
      <c r="P41" s="96"/>
      <c r="Q41" s="8"/>
    </row>
    <row r="42" spans="1:17" ht="39.950000000000003" customHeight="1" thickBot="1" x14ac:dyDescent="0.35">
      <c r="A42" s="13" t="s">
        <v>95</v>
      </c>
      <c r="B42" s="15" t="s">
        <v>96</v>
      </c>
      <c r="J42" s="16"/>
      <c r="K42" s="85"/>
      <c r="L42" s="86"/>
      <c r="M42" s="97"/>
      <c r="N42" s="98"/>
      <c r="O42" s="97"/>
      <c r="P42" s="98"/>
      <c r="Q42" s="8"/>
    </row>
    <row r="43" spans="1:17" ht="39.950000000000003" customHeight="1" thickBot="1" x14ac:dyDescent="0.35">
      <c r="A43" s="13" t="s">
        <v>97</v>
      </c>
      <c r="B43" s="15" t="s">
        <v>98</v>
      </c>
      <c r="J43" s="16"/>
      <c r="K43" s="83" t="s">
        <v>124</v>
      </c>
      <c r="L43" s="84"/>
      <c r="M43" s="87" t="str">
        <f>IFERROR(INDEX($B$53:$B$87, MATCH(K43, $A$53:$A$87, 0)), " ")</f>
        <v>Hablar siempre frente al estudiante (contacto visual).</v>
      </c>
      <c r="N43" s="88"/>
      <c r="O43" s="91"/>
      <c r="P43" s="92"/>
      <c r="Q43" s="8"/>
    </row>
    <row r="44" spans="1:17" ht="39.950000000000003" customHeight="1" thickBot="1" x14ac:dyDescent="0.35">
      <c r="A44" s="13" t="s">
        <v>99</v>
      </c>
      <c r="B44" s="15" t="s">
        <v>100</v>
      </c>
      <c r="J44" s="16"/>
      <c r="K44" s="85"/>
      <c r="L44" s="86"/>
      <c r="M44" s="89"/>
      <c r="N44" s="90"/>
      <c r="O44" s="93"/>
      <c r="P44" s="94"/>
      <c r="Q44" s="8"/>
    </row>
    <row r="45" spans="1:17" ht="39.950000000000003" customHeight="1" thickBot="1" x14ac:dyDescent="0.35">
      <c r="A45" s="13" t="s">
        <v>101</v>
      </c>
      <c r="B45" s="15" t="s">
        <v>102</v>
      </c>
      <c r="J45" s="16"/>
      <c r="K45" s="83" t="s">
        <v>126</v>
      </c>
      <c r="L45" s="84"/>
      <c r="M45" s="87" t="str">
        <f t="shared" ref="M45" si="2">IFERROR(INDEX($B$53:$B$87, MATCH(K45, $A$53:$A$87, 0)), " ")</f>
        <v>De ser necesario disminuir la longitud y la cantidad de las tareas y/o actividades.</v>
      </c>
      <c r="N45" s="88"/>
      <c r="O45" s="91"/>
      <c r="P45" s="92"/>
      <c r="Q45" s="8"/>
    </row>
    <row r="46" spans="1:17" ht="39.950000000000003" customHeight="1" thickBot="1" x14ac:dyDescent="0.35">
      <c r="A46" s="13" t="s">
        <v>103</v>
      </c>
      <c r="B46" s="15" t="s">
        <v>104</v>
      </c>
      <c r="J46" s="16"/>
      <c r="K46" s="85"/>
      <c r="L46" s="86"/>
      <c r="M46" s="89"/>
      <c r="N46" s="90"/>
      <c r="O46" s="93"/>
      <c r="P46" s="94"/>
      <c r="Q46" s="8"/>
    </row>
    <row r="47" spans="1:17" ht="39.950000000000003" customHeight="1" thickBot="1" x14ac:dyDescent="0.35">
      <c r="A47" s="13" t="s">
        <v>105</v>
      </c>
      <c r="B47" s="15" t="s">
        <v>106</v>
      </c>
      <c r="J47" s="16"/>
      <c r="K47" s="83" t="s">
        <v>174</v>
      </c>
      <c r="L47" s="84"/>
      <c r="M47" s="87" t="str">
        <f t="shared" ref="M47" si="3">IFERROR(INDEX($B$53:$B$87, MATCH(K47, $A$53:$A$87, 0)), " ")</f>
        <v>Establecer rutinas de trabajo.</v>
      </c>
      <c r="N47" s="88"/>
      <c r="O47" s="91"/>
      <c r="P47" s="92"/>
      <c r="Q47" s="8"/>
    </row>
    <row r="48" spans="1:17" ht="39.950000000000003" customHeight="1" thickBot="1" x14ac:dyDescent="0.35">
      <c r="A48" s="13" t="s">
        <v>107</v>
      </c>
      <c r="B48" s="15" t="s">
        <v>108</v>
      </c>
      <c r="J48" s="16"/>
      <c r="K48" s="85"/>
      <c r="L48" s="86"/>
      <c r="M48" s="89"/>
      <c r="N48" s="90"/>
      <c r="O48" s="93"/>
      <c r="P48" s="94"/>
      <c r="Q48" s="8"/>
    </row>
    <row r="49" spans="1:17" ht="39.950000000000003" customHeight="1" thickBot="1" x14ac:dyDescent="0.35">
      <c r="A49" s="13" t="s">
        <v>109</v>
      </c>
      <c r="B49" s="67" t="s">
        <v>76</v>
      </c>
      <c r="J49" s="16"/>
      <c r="K49" s="83" t="s">
        <v>8</v>
      </c>
      <c r="L49" s="84"/>
      <c r="M49" s="95" t="s">
        <v>41</v>
      </c>
      <c r="N49" s="96"/>
      <c r="O49" s="95" t="s">
        <v>12</v>
      </c>
      <c r="P49" s="96"/>
      <c r="Q49" s="8"/>
    </row>
    <row r="50" spans="1:17" ht="39.950000000000003" customHeight="1" thickBot="1" x14ac:dyDescent="0.35">
      <c r="J50" s="16"/>
      <c r="K50" s="85"/>
      <c r="L50" s="86"/>
      <c r="M50" s="97"/>
      <c r="N50" s="98"/>
      <c r="O50" s="97"/>
      <c r="P50" s="98"/>
      <c r="Q50" s="8"/>
    </row>
    <row r="51" spans="1:17" ht="39.950000000000003" customHeight="1" thickBot="1" x14ac:dyDescent="0.35">
      <c r="J51" s="16"/>
      <c r="K51" s="83" t="s">
        <v>208</v>
      </c>
      <c r="L51" s="84"/>
      <c r="M51" s="87" t="str">
        <f>IFERROR(INDEX($B$90:$B$104, MATCH(K51, $A$90:$A$104, 0)), " ")</f>
        <v>Usar la calculadora.</v>
      </c>
      <c r="N51" s="88"/>
      <c r="O51" s="91"/>
      <c r="P51" s="92"/>
      <c r="Q51" s="8"/>
    </row>
    <row r="52" spans="1:17" ht="39.950000000000003" customHeight="1" thickBot="1" x14ac:dyDescent="0.3">
      <c r="A52" s="23"/>
      <c r="B52" s="24" t="s">
        <v>113</v>
      </c>
      <c r="J52" s="6"/>
      <c r="K52" s="85"/>
      <c r="L52" s="86"/>
      <c r="M52" s="89"/>
      <c r="N52" s="90"/>
      <c r="O52" s="93"/>
      <c r="P52" s="94"/>
      <c r="Q52" s="2"/>
    </row>
    <row r="53" spans="1:17" ht="39.950000000000003" customHeight="1" thickBot="1" x14ac:dyDescent="0.3">
      <c r="A53" s="13" t="s">
        <v>114</v>
      </c>
      <c r="B53" s="15" t="s">
        <v>115</v>
      </c>
      <c r="J53" s="6"/>
      <c r="K53" s="83" t="s">
        <v>198</v>
      </c>
      <c r="L53" s="84"/>
      <c r="M53" s="87" t="str">
        <f t="shared" ref="M53" si="4">IFERROR(INDEX($B$90:$B$104, MATCH(K53, $A$90:$A$104, 0)), " ")</f>
        <v>Aplicar evaluaciones cortas y frecuentes.</v>
      </c>
      <c r="N53" s="88"/>
      <c r="O53" s="91"/>
      <c r="P53" s="92"/>
      <c r="Q53" s="2"/>
    </row>
    <row r="54" spans="1:17" ht="39.950000000000003" customHeight="1" thickBot="1" x14ac:dyDescent="0.3">
      <c r="A54" s="13" t="s">
        <v>116</v>
      </c>
      <c r="B54" s="15" t="s">
        <v>117</v>
      </c>
      <c r="J54" s="6"/>
      <c r="K54" s="85"/>
      <c r="L54" s="86"/>
      <c r="M54" s="89"/>
      <c r="N54" s="90"/>
      <c r="O54" s="93"/>
      <c r="P54" s="94"/>
      <c r="Q54" s="2"/>
    </row>
    <row r="55" spans="1:17" ht="39.950000000000003" customHeight="1" thickBot="1" x14ac:dyDescent="0.3">
      <c r="A55" s="13" t="s">
        <v>118</v>
      </c>
      <c r="B55" s="15" t="s">
        <v>119</v>
      </c>
      <c r="J55" s="6"/>
      <c r="K55" s="83" t="s">
        <v>208</v>
      </c>
      <c r="L55" s="84"/>
      <c r="M55" s="87" t="str">
        <f t="shared" ref="M55" si="5">IFERROR(INDEX($B$90:$B$104, MATCH(K55, $A$90:$A$104, 0)), " ")</f>
        <v>Usar la calculadora.</v>
      </c>
      <c r="N55" s="88"/>
      <c r="O55" s="91"/>
      <c r="P55" s="92"/>
      <c r="Q55" s="2"/>
    </row>
    <row r="56" spans="1:17" ht="39.950000000000003" customHeight="1" thickBot="1" x14ac:dyDescent="0.3">
      <c r="A56" s="13" t="s">
        <v>120</v>
      </c>
      <c r="B56" s="15" t="s">
        <v>121</v>
      </c>
      <c r="J56" s="6"/>
      <c r="K56" s="85"/>
      <c r="L56" s="86"/>
      <c r="M56" s="89"/>
      <c r="N56" s="90"/>
      <c r="O56" s="93"/>
      <c r="P56" s="94"/>
      <c r="Q56" s="2"/>
    </row>
    <row r="57" spans="1:17" ht="39.950000000000003" customHeight="1" thickBot="1" x14ac:dyDescent="0.3">
      <c r="A57" s="13" t="s">
        <v>122</v>
      </c>
      <c r="B57" s="14" t="s">
        <v>123</v>
      </c>
      <c r="J57" s="6"/>
      <c r="K57" s="7"/>
      <c r="L57" s="7"/>
      <c r="M57" s="7"/>
      <c r="N57" s="7"/>
      <c r="O57" s="7"/>
      <c r="P57" s="7"/>
      <c r="Q57" s="2"/>
    </row>
    <row r="58" spans="1:17" ht="39.950000000000003" customHeight="1" thickBot="1" x14ac:dyDescent="0.35">
      <c r="A58" s="13" t="s">
        <v>124</v>
      </c>
      <c r="B58" s="14" t="s">
        <v>125</v>
      </c>
      <c r="J58" s="6"/>
      <c r="K58" s="81" t="s">
        <v>42</v>
      </c>
      <c r="L58" s="81"/>
      <c r="M58" s="81"/>
      <c r="N58" s="81"/>
      <c r="O58" s="81"/>
      <c r="P58" s="81"/>
      <c r="Q58" s="2"/>
    </row>
    <row r="59" spans="1:17" ht="39.950000000000003" customHeight="1" thickBot="1" x14ac:dyDescent="0.3">
      <c r="A59" s="13" t="s">
        <v>126</v>
      </c>
      <c r="B59" s="15" t="s">
        <v>127</v>
      </c>
      <c r="J59" s="6"/>
      <c r="K59" s="82" t="s">
        <v>43</v>
      </c>
      <c r="L59" s="82"/>
      <c r="M59" s="82"/>
      <c r="N59" s="31" t="s">
        <v>47</v>
      </c>
      <c r="O59" s="31" t="s">
        <v>44</v>
      </c>
      <c r="P59" s="31" t="s">
        <v>45</v>
      </c>
      <c r="Q59" s="2"/>
    </row>
    <row r="60" spans="1:17" ht="39.950000000000003" customHeight="1" thickBot="1" x14ac:dyDescent="0.3">
      <c r="A60" s="13" t="s">
        <v>128</v>
      </c>
      <c r="B60" s="15" t="s">
        <v>129</v>
      </c>
      <c r="J60" s="6"/>
      <c r="K60" s="32" t="s">
        <v>46</v>
      </c>
      <c r="L60" s="31"/>
      <c r="M60" s="31"/>
      <c r="N60" s="31"/>
      <c r="O60" s="31"/>
      <c r="P60" s="31"/>
      <c r="Q60" s="2"/>
    </row>
    <row r="61" spans="1:17" ht="39.950000000000003" customHeight="1" thickBot="1" x14ac:dyDescent="0.4">
      <c r="A61" s="13" t="s">
        <v>130</v>
      </c>
      <c r="B61" s="15" t="s">
        <v>131</v>
      </c>
      <c r="J61" s="6"/>
      <c r="K61" s="32" t="s">
        <v>48</v>
      </c>
      <c r="L61" s="32"/>
      <c r="M61" s="32"/>
      <c r="N61" s="33"/>
      <c r="O61" s="33"/>
      <c r="P61" s="33"/>
      <c r="Q61" s="2"/>
    </row>
    <row r="62" spans="1:17" ht="39.950000000000003" customHeight="1" thickBot="1" x14ac:dyDescent="0.35">
      <c r="A62" s="13" t="s">
        <v>132</v>
      </c>
      <c r="B62" s="15" t="s">
        <v>133</v>
      </c>
      <c r="J62" s="6"/>
      <c r="K62" s="76"/>
      <c r="L62" s="77"/>
      <c r="M62" s="77"/>
      <c r="N62" s="77"/>
      <c r="O62" s="77"/>
      <c r="P62" s="78"/>
      <c r="Q62" s="2"/>
    </row>
    <row r="63" spans="1:17" ht="39.950000000000003" customHeight="1" thickBot="1" x14ac:dyDescent="0.35">
      <c r="A63" s="13" t="s">
        <v>134</v>
      </c>
      <c r="B63" s="15" t="s">
        <v>135</v>
      </c>
      <c r="J63" s="6"/>
      <c r="K63" s="76"/>
      <c r="L63" s="77"/>
      <c r="M63" s="77"/>
      <c r="N63" s="77"/>
      <c r="O63" s="77"/>
      <c r="P63" s="78"/>
      <c r="Q63" s="2"/>
    </row>
    <row r="64" spans="1:17" ht="39.950000000000003" customHeight="1" thickBot="1" x14ac:dyDescent="0.35">
      <c r="A64" s="13" t="s">
        <v>136</v>
      </c>
      <c r="B64" s="15" t="s">
        <v>137</v>
      </c>
      <c r="J64" s="6"/>
      <c r="K64" s="76"/>
      <c r="L64" s="77"/>
      <c r="M64" s="77"/>
      <c r="N64" s="77"/>
      <c r="O64" s="77"/>
      <c r="P64" s="78"/>
      <c r="Q64" s="8"/>
    </row>
    <row r="65" spans="1:17" ht="39.950000000000003" customHeight="1" thickBot="1" x14ac:dyDescent="0.3">
      <c r="A65" s="13" t="s">
        <v>138</v>
      </c>
      <c r="B65" s="15" t="s">
        <v>139</v>
      </c>
      <c r="J65" s="6"/>
      <c r="K65" s="69"/>
      <c r="L65" s="69"/>
      <c r="M65" s="69"/>
      <c r="N65" s="69"/>
      <c r="O65" s="69"/>
      <c r="P65" s="69"/>
      <c r="Q65" s="70"/>
    </row>
    <row r="66" spans="1:17" ht="39.950000000000003" customHeight="1" thickBot="1" x14ac:dyDescent="0.3">
      <c r="A66" s="13" t="s">
        <v>140</v>
      </c>
      <c r="B66" s="15" t="s">
        <v>141</v>
      </c>
      <c r="J66" s="6"/>
      <c r="K66" s="71" t="s">
        <v>50</v>
      </c>
      <c r="L66" s="71"/>
      <c r="M66" s="71"/>
      <c r="N66" s="71"/>
      <c r="O66" s="71" t="s">
        <v>50</v>
      </c>
      <c r="P66" s="71"/>
      <c r="Q66" s="34"/>
    </row>
    <row r="67" spans="1:17" ht="39.950000000000003" customHeight="1" thickBot="1" x14ac:dyDescent="0.3">
      <c r="A67" s="13" t="s">
        <v>142</v>
      </c>
      <c r="B67" s="15" t="s">
        <v>143</v>
      </c>
      <c r="J67" s="6"/>
      <c r="K67" s="79" t="s">
        <v>49</v>
      </c>
      <c r="L67" s="79"/>
      <c r="M67" s="79"/>
      <c r="N67" s="79"/>
      <c r="O67" s="79" t="s">
        <v>51</v>
      </c>
      <c r="P67" s="79"/>
      <c r="Q67" s="80"/>
    </row>
    <row r="68" spans="1:17" ht="39.950000000000003" customHeight="1" thickBot="1" x14ac:dyDescent="0.3">
      <c r="A68" s="13" t="s">
        <v>144</v>
      </c>
      <c r="B68" s="15" t="s">
        <v>145</v>
      </c>
      <c r="J68" s="6"/>
      <c r="K68" s="35"/>
      <c r="L68" s="35"/>
      <c r="M68" s="35"/>
      <c r="N68" s="35"/>
      <c r="O68" s="35"/>
      <c r="P68" s="35"/>
      <c r="Q68" s="36"/>
    </row>
    <row r="69" spans="1:17" ht="39.950000000000003" customHeight="1" thickBot="1" x14ac:dyDescent="0.3">
      <c r="A69" s="13" t="s">
        <v>146</v>
      </c>
      <c r="B69" s="15" t="s">
        <v>147</v>
      </c>
      <c r="J69" s="6"/>
      <c r="K69" s="35" t="s">
        <v>52</v>
      </c>
      <c r="L69" s="35"/>
      <c r="M69" s="35"/>
      <c r="N69" s="35"/>
      <c r="O69" s="35"/>
      <c r="P69" s="35"/>
      <c r="Q69" s="36"/>
    </row>
    <row r="70" spans="1:17" ht="39.950000000000003" customHeight="1" thickBot="1" x14ac:dyDescent="0.3">
      <c r="A70" s="13" t="s">
        <v>148</v>
      </c>
      <c r="B70" s="15" t="s">
        <v>149</v>
      </c>
      <c r="J70" s="6"/>
      <c r="K70" s="7"/>
      <c r="L70" s="7"/>
      <c r="M70" s="7"/>
      <c r="N70" s="7"/>
      <c r="O70" s="7"/>
      <c r="P70" s="7"/>
      <c r="Q70" s="8"/>
    </row>
    <row r="71" spans="1:17" ht="39.950000000000003" customHeight="1" thickBot="1" x14ac:dyDescent="0.3">
      <c r="A71" s="13" t="s">
        <v>150</v>
      </c>
      <c r="B71" s="15" t="s">
        <v>151</v>
      </c>
      <c r="J71" s="6"/>
      <c r="K71" s="7"/>
      <c r="L71" s="7"/>
      <c r="M71" s="7"/>
      <c r="N71" s="7"/>
      <c r="O71" s="7"/>
      <c r="P71" s="7"/>
      <c r="Q71" s="8"/>
    </row>
    <row r="72" spans="1:17" ht="39.950000000000003" customHeight="1" thickBot="1" x14ac:dyDescent="0.3">
      <c r="A72" s="13" t="s">
        <v>152</v>
      </c>
      <c r="B72" s="15" t="s">
        <v>153</v>
      </c>
      <c r="J72" s="6"/>
      <c r="K72" s="7"/>
      <c r="L72" s="7"/>
      <c r="M72" s="7"/>
      <c r="N72" s="7"/>
      <c r="O72" s="7"/>
      <c r="P72" s="7"/>
      <c r="Q72" s="8"/>
    </row>
    <row r="73" spans="1:17" ht="39.950000000000003" customHeight="1" thickBot="1" x14ac:dyDescent="0.3">
      <c r="A73" s="13" t="s">
        <v>154</v>
      </c>
      <c r="B73" s="15" t="s">
        <v>155</v>
      </c>
      <c r="J73" s="6"/>
      <c r="K73" s="137" t="s">
        <v>53</v>
      </c>
      <c r="L73" s="137"/>
      <c r="M73" s="137"/>
      <c r="N73" s="137"/>
      <c r="O73" s="137"/>
      <c r="P73" s="137"/>
      <c r="Q73" s="138"/>
    </row>
    <row r="74" spans="1:17" ht="39.950000000000003" customHeight="1" thickBot="1" x14ac:dyDescent="0.3">
      <c r="A74" s="13" t="s">
        <v>156</v>
      </c>
      <c r="B74" s="15" t="s">
        <v>157</v>
      </c>
      <c r="J74" s="9"/>
      <c r="K74" s="10"/>
      <c r="L74" s="10"/>
      <c r="M74" s="105" t="s">
        <v>54</v>
      </c>
      <c r="N74" s="105"/>
      <c r="O74" s="105"/>
      <c r="P74" s="105"/>
      <c r="Q74" s="11"/>
    </row>
    <row r="75" spans="1:17" ht="39.950000000000003" customHeight="1" thickBot="1" x14ac:dyDescent="0.3">
      <c r="A75" s="13" t="s">
        <v>158</v>
      </c>
      <c r="B75" s="15" t="s">
        <v>159</v>
      </c>
    </row>
    <row r="76" spans="1:17" ht="39.950000000000003" customHeight="1" thickBot="1" x14ac:dyDescent="0.3">
      <c r="A76" s="13" t="s">
        <v>160</v>
      </c>
      <c r="B76" s="15" t="s">
        <v>161</v>
      </c>
    </row>
    <row r="77" spans="1:17" ht="39.950000000000003" customHeight="1" thickBot="1" x14ac:dyDescent="0.3">
      <c r="A77" s="13" t="s">
        <v>162</v>
      </c>
      <c r="B77" s="15" t="s">
        <v>163</v>
      </c>
    </row>
    <row r="78" spans="1:17" ht="39.950000000000003" customHeight="1" thickBot="1" x14ac:dyDescent="0.3">
      <c r="A78" s="13" t="s">
        <v>164</v>
      </c>
      <c r="B78" s="15" t="s">
        <v>165</v>
      </c>
    </row>
    <row r="79" spans="1:17" ht="39.950000000000003" customHeight="1" thickBot="1" x14ac:dyDescent="0.3">
      <c r="A79" s="13" t="s">
        <v>166</v>
      </c>
      <c r="B79" s="15" t="s">
        <v>167</v>
      </c>
    </row>
    <row r="80" spans="1:17" ht="39.950000000000003" customHeight="1" thickBot="1" x14ac:dyDescent="0.3">
      <c r="A80" s="13" t="s">
        <v>168</v>
      </c>
      <c r="B80" s="15" t="s">
        <v>169</v>
      </c>
    </row>
    <row r="81" spans="1:2" ht="39.950000000000003" customHeight="1" thickBot="1" x14ac:dyDescent="0.3">
      <c r="A81" s="13" t="s">
        <v>170</v>
      </c>
      <c r="B81" s="15" t="s">
        <v>171</v>
      </c>
    </row>
    <row r="82" spans="1:2" ht="39.950000000000003" customHeight="1" thickBot="1" x14ac:dyDescent="0.3">
      <c r="A82" s="13" t="s">
        <v>172</v>
      </c>
      <c r="B82" s="15" t="s">
        <v>173</v>
      </c>
    </row>
    <row r="83" spans="1:2" ht="39.950000000000003" customHeight="1" thickBot="1" x14ac:dyDescent="0.3">
      <c r="A83" s="13" t="s">
        <v>174</v>
      </c>
      <c r="B83" s="15" t="s">
        <v>72</v>
      </c>
    </row>
    <row r="84" spans="1:2" ht="39.950000000000003" customHeight="1" thickBot="1" x14ac:dyDescent="0.3">
      <c r="A84" s="13" t="s">
        <v>175</v>
      </c>
      <c r="B84" s="15" t="s">
        <v>176</v>
      </c>
    </row>
    <row r="85" spans="1:2" ht="39.950000000000003" customHeight="1" thickBot="1" x14ac:dyDescent="0.3">
      <c r="A85" s="13" t="s">
        <v>177</v>
      </c>
      <c r="B85" s="15" t="s">
        <v>178</v>
      </c>
    </row>
    <row r="86" spans="1:2" ht="39.950000000000003" customHeight="1" thickBot="1" x14ac:dyDescent="0.3">
      <c r="A86" s="13" t="s">
        <v>179</v>
      </c>
      <c r="B86" s="15" t="s">
        <v>180</v>
      </c>
    </row>
    <row r="87" spans="1:2" ht="39.950000000000003" customHeight="1" thickBot="1" x14ac:dyDescent="0.3">
      <c r="A87" s="13" t="s">
        <v>181</v>
      </c>
      <c r="B87" s="67" t="s">
        <v>76</v>
      </c>
    </row>
    <row r="88" spans="1:2" ht="39.950000000000003" customHeight="1" thickBot="1" x14ac:dyDescent="0.3"/>
    <row r="89" spans="1:2" ht="39.950000000000003" customHeight="1" thickBot="1" x14ac:dyDescent="0.3">
      <c r="A89" s="23"/>
      <c r="B89" s="24" t="s">
        <v>182</v>
      </c>
    </row>
    <row r="90" spans="1:2" ht="39.950000000000003" customHeight="1" thickBot="1" x14ac:dyDescent="0.3">
      <c r="A90" s="13" t="s">
        <v>181</v>
      </c>
      <c r="B90" s="15" t="s">
        <v>183</v>
      </c>
    </row>
    <row r="91" spans="1:2" ht="39.950000000000003" customHeight="1" thickBot="1" x14ac:dyDescent="0.3">
      <c r="A91" s="13" t="s">
        <v>184</v>
      </c>
      <c r="B91" s="15" t="s">
        <v>185</v>
      </c>
    </row>
    <row r="92" spans="1:2" ht="39.950000000000003" customHeight="1" thickBot="1" x14ac:dyDescent="0.3">
      <c r="A92" s="13" t="s">
        <v>186</v>
      </c>
      <c r="B92" s="15" t="s">
        <v>187</v>
      </c>
    </row>
    <row r="93" spans="1:2" ht="39.950000000000003" customHeight="1" thickBot="1" x14ac:dyDescent="0.3">
      <c r="A93" s="13" t="s">
        <v>188</v>
      </c>
      <c r="B93" s="15" t="s">
        <v>189</v>
      </c>
    </row>
    <row r="94" spans="1:2" ht="39.950000000000003" customHeight="1" thickBot="1" x14ac:dyDescent="0.3">
      <c r="A94" s="13" t="s">
        <v>190</v>
      </c>
      <c r="B94" s="14" t="s">
        <v>191</v>
      </c>
    </row>
    <row r="95" spans="1:2" ht="39.950000000000003" customHeight="1" thickBot="1" x14ac:dyDescent="0.3">
      <c r="A95" s="13" t="s">
        <v>192</v>
      </c>
      <c r="B95" s="14" t="s">
        <v>193</v>
      </c>
    </row>
    <row r="96" spans="1:2" ht="39.950000000000003" customHeight="1" thickBot="1" x14ac:dyDescent="0.3">
      <c r="A96" s="13" t="s">
        <v>194</v>
      </c>
      <c r="B96" s="15" t="s">
        <v>195</v>
      </c>
    </row>
    <row r="97" spans="1:2" ht="39.950000000000003" customHeight="1" thickBot="1" x14ac:dyDescent="0.3">
      <c r="A97" s="13" t="s">
        <v>196</v>
      </c>
      <c r="B97" s="15" t="s">
        <v>197</v>
      </c>
    </row>
    <row r="98" spans="1:2" ht="39.950000000000003" customHeight="1" thickBot="1" x14ac:dyDescent="0.3">
      <c r="A98" s="13" t="s">
        <v>198</v>
      </c>
      <c r="B98" s="15" t="s">
        <v>199</v>
      </c>
    </row>
    <row r="99" spans="1:2" ht="39.950000000000003" customHeight="1" thickBot="1" x14ac:dyDescent="0.3">
      <c r="A99" s="13" t="s">
        <v>200</v>
      </c>
      <c r="B99" s="15" t="s">
        <v>201</v>
      </c>
    </row>
    <row r="100" spans="1:2" ht="39.950000000000003" customHeight="1" thickBot="1" x14ac:dyDescent="0.3">
      <c r="A100" s="13" t="s">
        <v>202</v>
      </c>
      <c r="B100" s="15" t="s">
        <v>203</v>
      </c>
    </row>
    <row r="101" spans="1:2" ht="39.950000000000003" customHeight="1" thickBot="1" x14ac:dyDescent="0.3">
      <c r="A101" s="13" t="s">
        <v>204</v>
      </c>
      <c r="B101" s="15" t="s">
        <v>205</v>
      </c>
    </row>
    <row r="102" spans="1:2" ht="39.950000000000003" customHeight="1" thickBot="1" x14ac:dyDescent="0.3">
      <c r="A102" s="13" t="s">
        <v>206</v>
      </c>
      <c r="B102" s="15" t="s">
        <v>207</v>
      </c>
    </row>
    <row r="103" spans="1:2" ht="39.950000000000003" customHeight="1" thickBot="1" x14ac:dyDescent="0.3">
      <c r="A103" s="13" t="s">
        <v>208</v>
      </c>
      <c r="B103" s="15" t="s">
        <v>209</v>
      </c>
    </row>
    <row r="104" spans="1:2" ht="39.950000000000003" customHeight="1" thickBot="1" x14ac:dyDescent="0.3">
      <c r="A104" s="13" t="s">
        <v>210</v>
      </c>
      <c r="B104" s="67" t="s">
        <v>76</v>
      </c>
    </row>
    <row r="105" spans="1:2" ht="39.950000000000003" customHeight="1" x14ac:dyDescent="0.25"/>
    <row r="106" spans="1:2" ht="39.950000000000003" customHeight="1" x14ac:dyDescent="0.25"/>
    <row r="107" spans="1:2" ht="39.950000000000003" customHeight="1" x14ac:dyDescent="0.25"/>
    <row r="108" spans="1:2" ht="39.950000000000003" customHeight="1" x14ac:dyDescent="0.25"/>
    <row r="109" spans="1:2" ht="39.950000000000003" customHeight="1" x14ac:dyDescent="0.25"/>
    <row r="110" spans="1:2" ht="39.950000000000003" customHeight="1" x14ac:dyDescent="0.25"/>
    <row r="111" spans="1:2" ht="39.950000000000003" customHeight="1" x14ac:dyDescent="0.25"/>
    <row r="112" spans="1:2" ht="39.950000000000003" customHeight="1" x14ac:dyDescent="0.25"/>
    <row r="113" ht="39.950000000000003" customHeight="1" x14ac:dyDescent="0.25"/>
    <row r="114" ht="39.950000000000003" customHeight="1" x14ac:dyDescent="0.25"/>
    <row r="115" ht="39.950000000000003" customHeight="1" x14ac:dyDescent="0.25"/>
    <row r="116" ht="39.950000000000003" customHeight="1" x14ac:dyDescent="0.25"/>
    <row r="117" ht="39.950000000000003" customHeight="1" x14ac:dyDescent="0.25"/>
    <row r="118" ht="39.950000000000003" customHeight="1" x14ac:dyDescent="0.25"/>
    <row r="119" ht="39.950000000000003" customHeight="1" x14ac:dyDescent="0.25"/>
    <row r="120" ht="39.950000000000003" customHeight="1" x14ac:dyDescent="0.25"/>
    <row r="121" ht="39.950000000000003" customHeight="1" x14ac:dyDescent="0.25"/>
    <row r="122" ht="39.950000000000003" customHeight="1" x14ac:dyDescent="0.25"/>
    <row r="123" ht="39.950000000000003" customHeight="1" x14ac:dyDescent="0.25"/>
    <row r="124" ht="39.950000000000003" customHeight="1" x14ac:dyDescent="0.25"/>
    <row r="125" ht="39.950000000000003" customHeight="1" x14ac:dyDescent="0.25"/>
    <row r="126" ht="39.950000000000003" customHeight="1" x14ac:dyDescent="0.25"/>
    <row r="127" ht="39.950000000000003" customHeight="1" x14ac:dyDescent="0.25"/>
    <row r="128" ht="39.950000000000003" customHeight="1" x14ac:dyDescent="0.25"/>
    <row r="129" ht="39.950000000000003" customHeight="1" x14ac:dyDescent="0.25"/>
    <row r="130" ht="39.950000000000003" customHeight="1" x14ac:dyDescent="0.25"/>
    <row r="131" ht="39.950000000000003" customHeight="1" x14ac:dyDescent="0.25"/>
    <row r="132" ht="39.950000000000003" customHeight="1" x14ac:dyDescent="0.25"/>
    <row r="133" ht="39.950000000000003" customHeight="1" x14ac:dyDescent="0.25"/>
    <row r="134" ht="39.950000000000003" customHeight="1" x14ac:dyDescent="0.25"/>
    <row r="135" ht="39.950000000000003" customHeight="1" x14ac:dyDescent="0.25"/>
    <row r="136" ht="39.950000000000003" customHeight="1" x14ac:dyDescent="0.25"/>
    <row r="137" ht="39.950000000000003" customHeight="1" x14ac:dyDescent="0.25"/>
    <row r="138" ht="39.950000000000003" customHeight="1" x14ac:dyDescent="0.25"/>
    <row r="139" ht="39.950000000000003" customHeight="1" x14ac:dyDescent="0.25"/>
    <row r="140" ht="39.950000000000003" customHeight="1" x14ac:dyDescent="0.25"/>
    <row r="141" ht="39.950000000000003" customHeight="1" x14ac:dyDescent="0.25"/>
    <row r="142" ht="39.950000000000003" customHeight="1" x14ac:dyDescent="0.25"/>
    <row r="143" ht="39.950000000000003" customHeight="1" x14ac:dyDescent="0.25"/>
    <row r="144" ht="39.950000000000003" customHeight="1" x14ac:dyDescent="0.25"/>
    <row r="145" ht="39.950000000000003" customHeight="1" x14ac:dyDescent="0.25"/>
    <row r="146" ht="39.950000000000003" customHeight="1" x14ac:dyDescent="0.25"/>
    <row r="147" ht="39.950000000000003" customHeight="1" x14ac:dyDescent="0.25"/>
    <row r="148" ht="39.950000000000003" customHeight="1" x14ac:dyDescent="0.25"/>
    <row r="149" ht="39.950000000000003" customHeight="1" x14ac:dyDescent="0.25"/>
    <row r="150" ht="39.950000000000003" customHeight="1" x14ac:dyDescent="0.25"/>
    <row r="151" ht="39.950000000000003" customHeight="1" x14ac:dyDescent="0.25"/>
    <row r="152" ht="39.950000000000003" customHeight="1" x14ac:dyDescent="0.25"/>
    <row r="153" ht="39.950000000000003" customHeight="1" x14ac:dyDescent="0.25"/>
    <row r="154" ht="39.950000000000003" customHeight="1" x14ac:dyDescent="0.25"/>
    <row r="155" ht="39.950000000000003" customHeight="1" x14ac:dyDescent="0.25"/>
    <row r="156" ht="39.950000000000003" customHeight="1" x14ac:dyDescent="0.25"/>
    <row r="157" ht="39.950000000000003" customHeight="1" x14ac:dyDescent="0.25"/>
    <row r="158" ht="39.950000000000003" customHeight="1" x14ac:dyDescent="0.25"/>
    <row r="159" ht="39.950000000000003" customHeight="1" x14ac:dyDescent="0.25"/>
    <row r="160" ht="39.950000000000003" customHeight="1" x14ac:dyDescent="0.25"/>
    <row r="161" ht="39.950000000000003" customHeight="1" x14ac:dyDescent="0.25"/>
    <row r="162" ht="39.950000000000003" customHeight="1" x14ac:dyDescent="0.25"/>
    <row r="163" ht="39.950000000000003" customHeight="1" x14ac:dyDescent="0.25"/>
    <row r="164" ht="39.950000000000003" customHeight="1" x14ac:dyDescent="0.25"/>
    <row r="165" ht="39.950000000000003" customHeight="1" x14ac:dyDescent="0.25"/>
    <row r="166" ht="39.950000000000003" customHeight="1" x14ac:dyDescent="0.25"/>
    <row r="167" ht="39.950000000000003" customHeight="1" x14ac:dyDescent="0.25"/>
    <row r="168" ht="39.950000000000003" customHeight="1" x14ac:dyDescent="0.25"/>
    <row r="169" ht="39.950000000000003" customHeight="1" x14ac:dyDescent="0.25"/>
    <row r="170" ht="39.950000000000003" customHeight="1" x14ac:dyDescent="0.25"/>
    <row r="171" ht="39.950000000000003" customHeight="1" x14ac:dyDescent="0.25"/>
    <row r="172" ht="39.950000000000003" customHeight="1" x14ac:dyDescent="0.25"/>
    <row r="173" ht="39.950000000000003" customHeight="1" x14ac:dyDescent="0.25"/>
    <row r="174" ht="39.950000000000003" customHeight="1" x14ac:dyDescent="0.25"/>
    <row r="175" ht="39.950000000000003" customHeight="1" x14ac:dyDescent="0.25"/>
    <row r="176" ht="39.950000000000003" customHeight="1" x14ac:dyDescent="0.25"/>
    <row r="177" ht="39.950000000000003" customHeight="1" x14ac:dyDescent="0.25"/>
    <row r="178" ht="39.950000000000003" customHeight="1" x14ac:dyDescent="0.25"/>
    <row r="179" ht="39.950000000000003" customHeight="1" x14ac:dyDescent="0.25"/>
    <row r="180" ht="39.950000000000003" customHeight="1" x14ac:dyDescent="0.25"/>
    <row r="181" ht="39.950000000000003" customHeight="1" x14ac:dyDescent="0.25"/>
    <row r="182" ht="39.950000000000003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</sheetData>
  <sheetProtection algorithmName="SHA-512" hashValue="TZ2GIgc+/GCtl/EnGbpqyNzBabNY+ThsrI4pBI7/yNykn/OakjiUwYI3G8imVfDwTFeC5yBw1reR9TobeyHzEA==" saltValue="u5O4E4/F8PQaZyB6KZHOwA==" spinCount="100000" sheet="1" formatCells="0" formatColumns="0" formatRows="0"/>
  <mergeCells count="85">
    <mergeCell ref="B3:B4"/>
    <mergeCell ref="N1:O3"/>
    <mergeCell ref="C5:F8"/>
    <mergeCell ref="C9:F12"/>
    <mergeCell ref="K73:Q73"/>
    <mergeCell ref="K18:L19"/>
    <mergeCell ref="M18:N19"/>
    <mergeCell ref="O16:P17"/>
    <mergeCell ref="O18:P19"/>
    <mergeCell ref="K10:M10"/>
    <mergeCell ref="N10:O10"/>
    <mergeCell ref="M13:N13"/>
    <mergeCell ref="O13:P13"/>
    <mergeCell ref="K12:M12"/>
    <mergeCell ref="M15:N15"/>
    <mergeCell ref="K15:L15"/>
    <mergeCell ref="M74:P74"/>
    <mergeCell ref="S6:V9"/>
    <mergeCell ref="S10:V13"/>
    <mergeCell ref="S14:V17"/>
    <mergeCell ref="K36:L37"/>
    <mergeCell ref="K41:L42"/>
    <mergeCell ref="K43:L44"/>
    <mergeCell ref="K45:L46"/>
    <mergeCell ref="K47:L48"/>
    <mergeCell ref="K11:M11"/>
    <mergeCell ref="N11:O11"/>
    <mergeCell ref="K30:L31"/>
    <mergeCell ref="K32:L33"/>
    <mergeCell ref="M7:O7"/>
    <mergeCell ref="K16:L17"/>
    <mergeCell ref="M16:N17"/>
    <mergeCell ref="K14:P14"/>
    <mergeCell ref="K9:O9"/>
    <mergeCell ref="K20:L21"/>
    <mergeCell ref="K22:L23"/>
    <mergeCell ref="K24:L25"/>
    <mergeCell ref="K26:L27"/>
    <mergeCell ref="K28:L29"/>
    <mergeCell ref="M36:N37"/>
    <mergeCell ref="M41:N42"/>
    <mergeCell ref="K34:L35"/>
    <mergeCell ref="M30:N31"/>
    <mergeCell ref="M32:N33"/>
    <mergeCell ref="M43:N44"/>
    <mergeCell ref="M20:N21"/>
    <mergeCell ref="M22:N23"/>
    <mergeCell ref="M24:N25"/>
    <mergeCell ref="M26:N27"/>
    <mergeCell ref="M28:N29"/>
    <mergeCell ref="M45:N46"/>
    <mergeCell ref="M47:N48"/>
    <mergeCell ref="O20:P21"/>
    <mergeCell ref="O22:P23"/>
    <mergeCell ref="O24:P25"/>
    <mergeCell ref="O26:P27"/>
    <mergeCell ref="O28:P29"/>
    <mergeCell ref="O30:P31"/>
    <mergeCell ref="O32:P33"/>
    <mergeCell ref="O34:P35"/>
    <mergeCell ref="O36:P37"/>
    <mergeCell ref="O41:P42"/>
    <mergeCell ref="O43:P44"/>
    <mergeCell ref="O45:P46"/>
    <mergeCell ref="O47:P48"/>
    <mergeCell ref="M34:N35"/>
    <mergeCell ref="K49:L50"/>
    <mergeCell ref="M49:N50"/>
    <mergeCell ref="O49:P50"/>
    <mergeCell ref="K51:L52"/>
    <mergeCell ref="M51:N52"/>
    <mergeCell ref="O51:P52"/>
    <mergeCell ref="K53:L54"/>
    <mergeCell ref="M53:N54"/>
    <mergeCell ref="O53:P54"/>
    <mergeCell ref="K55:L56"/>
    <mergeCell ref="M55:N56"/>
    <mergeCell ref="O55:P56"/>
    <mergeCell ref="K63:P63"/>
    <mergeCell ref="K67:N67"/>
    <mergeCell ref="O67:Q67"/>
    <mergeCell ref="K64:P64"/>
    <mergeCell ref="K58:P58"/>
    <mergeCell ref="K59:M59"/>
    <mergeCell ref="K62:P62"/>
  </mergeCells>
  <phoneticPr fontId="9" type="noConversion"/>
  <dataValidations count="5">
    <dataValidation type="list" allowBlank="1" showInputMessage="1" showErrorMessage="1" sqref="K16:L21" xr:uid="{EE231B5F-059D-47C3-8B7F-8E0278BFDB92}">
      <formula1>$A$5:$A$18</formula1>
    </dataValidation>
    <dataValidation type="list" allowBlank="1" showInputMessage="1" showErrorMessage="1" sqref="K24:L29" xr:uid="{9271F788-5A7B-47FF-91E9-4439799E4490}">
      <formula1>$A$19:$A$30</formula1>
    </dataValidation>
    <dataValidation type="list" allowBlank="1" showInputMessage="1" showErrorMessage="1" sqref="K43:L48" xr:uid="{0DB470B5-2E1B-4EAD-958B-18AAF8A82642}">
      <formula1>$A$52:$A$88</formula1>
    </dataValidation>
    <dataValidation type="list" allowBlank="1" showInputMessage="1" showErrorMessage="1" sqref="K51:L56" xr:uid="{4A40472D-CE7A-416C-8CD9-B5CD38505938}">
      <formula1>$A$89:$A$104</formula1>
    </dataValidation>
    <dataValidation type="list" allowBlank="1" showInputMessage="1" showErrorMessage="1" sqref="K32:L38" xr:uid="{493866C7-69AE-4BEF-A97C-7EC93EFB8528}">
      <formula1>$A$33:$A$49</formula1>
    </dataValidation>
  </dataValidations>
  <hyperlinks>
    <hyperlink ref="M74" r:id="rId1" display="mailto:ctp.desabalito@mep.go.cr" xr:uid="{53ADF1C5-41FF-474C-9B80-79F88A927E07}"/>
    <hyperlink ref="C9" r:id="rId2" xr:uid="{49BAAC9D-437E-4FCC-B472-3ACDECE2C05B}"/>
  </hyperlinks>
  <pageMargins left="0.7" right="0.7" top="0.75" bottom="0.75" header="0.3" footer="0.3"/>
  <pageSetup scale="50" fitToHeight="0" orientation="portrait" r:id="rId3"/>
  <rowBreaks count="1" manualBreakCount="1">
    <brk id="39" min="9" max="16" man="1"/>
  </rowBreaks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D754F4-7F85-4016-A08F-BAA484F905FF}">
          <x14:formula1>
            <xm:f>'LISTA DE ESTUDIANTES'!$B$2:$B$102</xm:f>
          </x14:formula1>
          <xm:sqref>N10:O10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4893-F476-4A50-A7F1-BAA62F4F8B13}">
  <dimension ref="A1:V198"/>
  <sheetViews>
    <sheetView showGridLines="0" topLeftCell="D1" zoomScale="80" zoomScaleNormal="80" zoomScaleSheetLayoutView="80" zoomScalePageLayoutView="60" workbookViewId="0">
      <selection activeCell="P12" sqref="P12"/>
    </sheetView>
  </sheetViews>
  <sheetFormatPr baseColWidth="10" defaultColWidth="9.140625" defaultRowHeight="15" x14ac:dyDescent="0.25"/>
  <cols>
    <col min="2" max="2" width="92.140625" customWidth="1"/>
    <col min="4" max="9" width="7.28515625" customWidth="1"/>
    <col min="10" max="10" width="9.7109375" customWidth="1"/>
    <col min="11" max="11" width="12.85546875" customWidth="1"/>
    <col min="12" max="12" width="0.5703125" hidden="1" customWidth="1"/>
    <col min="13" max="13" width="23.42578125" customWidth="1"/>
    <col min="14" max="14" width="47" customWidth="1"/>
    <col min="15" max="15" width="37" customWidth="1"/>
    <col min="16" max="16" width="38" customWidth="1"/>
    <col min="17" max="17" width="9.7109375" customWidth="1"/>
    <col min="19" max="23" width="9.140625" customWidth="1"/>
  </cols>
  <sheetData>
    <row r="1" spans="1:22" x14ac:dyDescent="0.25">
      <c r="N1" s="122" t="s">
        <v>231</v>
      </c>
      <c r="O1" s="123"/>
    </row>
    <row r="2" spans="1:22" ht="15.75" thickBot="1" x14ac:dyDescent="0.3">
      <c r="N2" s="124"/>
      <c r="O2" s="125"/>
    </row>
    <row r="3" spans="1:22" ht="15.75" thickBot="1" x14ac:dyDescent="0.3">
      <c r="B3" s="120" t="s">
        <v>230</v>
      </c>
      <c r="N3" s="126"/>
      <c r="O3" s="127"/>
    </row>
    <row r="4" spans="1:22" ht="15.75" thickBot="1" x14ac:dyDescent="0.3">
      <c r="B4" s="121"/>
      <c r="Q4" s="1"/>
      <c r="U4" s="57" t="str">
        <f>IFERROR(INDEX('LISTA DE ESTUDIANTES'!$C$2:$C$102, MATCH($N$10,'LISTA DE ESTUDIANTES'!B2:B102, 0)), " ")</f>
        <v>8-1</v>
      </c>
    </row>
    <row r="5" spans="1:22" ht="32.1" customHeight="1" thickBot="1" x14ac:dyDescent="0.3">
      <c r="A5" s="23"/>
      <c r="B5" s="68" t="s">
        <v>110</v>
      </c>
      <c r="C5" s="106" t="s">
        <v>228</v>
      </c>
      <c r="D5" s="107"/>
      <c r="E5" s="107"/>
      <c r="F5" s="108"/>
      <c r="G5" s="75"/>
      <c r="H5" s="75"/>
      <c r="J5" s="3"/>
      <c r="K5" s="4"/>
      <c r="L5" s="4"/>
      <c r="M5" s="4"/>
      <c r="N5" s="4"/>
      <c r="O5" s="4"/>
      <c r="P5" s="4"/>
      <c r="Q5" s="5"/>
    </row>
    <row r="6" spans="1:22" ht="32.1" customHeight="1" thickBot="1" x14ac:dyDescent="0.3">
      <c r="A6" s="12" t="s">
        <v>14</v>
      </c>
      <c r="B6" s="65" t="s">
        <v>13</v>
      </c>
      <c r="C6" s="109"/>
      <c r="D6" s="110"/>
      <c r="E6" s="110"/>
      <c r="F6" s="111"/>
      <c r="G6" s="75"/>
      <c r="H6" s="75"/>
      <c r="J6" s="6"/>
      <c r="K6" s="7"/>
      <c r="L6" s="7"/>
      <c r="M6" s="7"/>
      <c r="N6" s="7"/>
      <c r="O6" s="7"/>
      <c r="P6" s="7"/>
      <c r="Q6" s="8"/>
      <c r="S6" s="106" t="s">
        <v>225</v>
      </c>
      <c r="T6" s="107"/>
      <c r="U6" s="107"/>
      <c r="V6" s="108"/>
    </row>
    <row r="7" spans="1:22" ht="32.1" customHeight="1" thickBot="1" x14ac:dyDescent="0.35">
      <c r="A7" s="13" t="s">
        <v>15</v>
      </c>
      <c r="B7" s="66" t="s">
        <v>16</v>
      </c>
      <c r="C7" s="109"/>
      <c r="D7" s="110"/>
      <c r="E7" s="110"/>
      <c r="F7" s="111"/>
      <c r="G7" s="75"/>
      <c r="H7" s="75"/>
      <c r="J7" s="16"/>
      <c r="K7" s="18"/>
      <c r="L7" s="18"/>
      <c r="M7" s="119" t="s">
        <v>9</v>
      </c>
      <c r="N7" s="119"/>
      <c r="O7" s="119"/>
      <c r="P7" s="18"/>
      <c r="Q7" s="8"/>
      <c r="S7" s="109"/>
      <c r="T7" s="110"/>
      <c r="U7" s="110"/>
      <c r="V7" s="111"/>
    </row>
    <row r="8" spans="1:22" ht="32.1" customHeight="1" thickBot="1" x14ac:dyDescent="0.35">
      <c r="A8" s="13" t="s">
        <v>17</v>
      </c>
      <c r="B8" s="66" t="s">
        <v>18</v>
      </c>
      <c r="C8" s="112"/>
      <c r="D8" s="113"/>
      <c r="E8" s="113"/>
      <c r="F8" s="114"/>
      <c r="G8" s="75"/>
      <c r="H8" s="75"/>
      <c r="J8" s="16"/>
      <c r="K8" s="18"/>
      <c r="L8" s="18"/>
      <c r="M8" s="18"/>
      <c r="N8" s="17" t="s">
        <v>10</v>
      </c>
      <c r="O8" s="18"/>
      <c r="P8" s="18"/>
      <c r="Q8" s="8"/>
      <c r="S8" s="109"/>
      <c r="T8" s="110"/>
      <c r="U8" s="110"/>
      <c r="V8" s="111"/>
    </row>
    <row r="9" spans="1:22" ht="32.1" customHeight="1" thickBot="1" x14ac:dyDescent="0.35">
      <c r="A9" s="13" t="s">
        <v>19</v>
      </c>
      <c r="B9" s="14" t="s">
        <v>20</v>
      </c>
      <c r="C9" s="128" t="s">
        <v>229</v>
      </c>
      <c r="D9" s="129"/>
      <c r="E9" s="129"/>
      <c r="F9" s="130"/>
      <c r="G9" s="75"/>
      <c r="H9" s="75"/>
      <c r="J9" s="16"/>
      <c r="K9" s="102" t="s">
        <v>314</v>
      </c>
      <c r="L9" s="103"/>
      <c r="M9" s="103"/>
      <c r="N9" s="103"/>
      <c r="O9" s="104"/>
      <c r="P9" s="26" t="s">
        <v>0</v>
      </c>
      <c r="Q9" s="8"/>
      <c r="S9" s="112"/>
      <c r="T9" s="113"/>
      <c r="U9" s="113"/>
      <c r="V9" s="114"/>
    </row>
    <row r="10" spans="1:22" ht="32.1" customHeight="1" thickBot="1" x14ac:dyDescent="0.35">
      <c r="A10" s="13" t="s">
        <v>21</v>
      </c>
      <c r="B10" s="15" t="s">
        <v>22</v>
      </c>
      <c r="C10" s="131"/>
      <c r="D10" s="132"/>
      <c r="E10" s="132"/>
      <c r="F10" s="133"/>
      <c r="G10" s="75"/>
      <c r="H10" s="75"/>
      <c r="J10" s="16"/>
      <c r="K10" s="115" t="s">
        <v>1</v>
      </c>
      <c r="L10" s="116"/>
      <c r="M10" s="116"/>
      <c r="N10" s="139" t="str">
        <f>+'ESPAÑOL '!N10</f>
        <v>Caballero González Angie Guiselle</v>
      </c>
      <c r="O10" s="140"/>
      <c r="P10" s="58" t="str">
        <f>+ "Sección: " &amp;$U$4</f>
        <v>Sección: 8-1</v>
      </c>
      <c r="Q10" s="8"/>
      <c r="S10" s="106" t="s">
        <v>226</v>
      </c>
      <c r="T10" s="107"/>
      <c r="U10" s="107"/>
      <c r="V10" s="108"/>
    </row>
    <row r="11" spans="1:22" ht="48.75" customHeight="1" thickBot="1" x14ac:dyDescent="0.35">
      <c r="A11" s="13" t="s">
        <v>23</v>
      </c>
      <c r="B11" s="15" t="s">
        <v>24</v>
      </c>
      <c r="C11" s="131"/>
      <c r="D11" s="132"/>
      <c r="E11" s="132"/>
      <c r="F11" s="133"/>
      <c r="G11" s="75"/>
      <c r="H11" s="75"/>
      <c r="J11" s="16"/>
      <c r="K11" s="115" t="s">
        <v>2</v>
      </c>
      <c r="L11" s="116"/>
      <c r="M11" s="116"/>
      <c r="N11" s="117" t="str">
        <f>IFERROR(INDEX('LISTA DE ESTUDIANTES'!$E$2:$E$102,MATCH($N$10,'LISTA DE ESTUDIANTES'!$B$2:$B$102, 0)), " ")</f>
        <v>Revisar Expediente</v>
      </c>
      <c r="O11" s="118"/>
      <c r="P11" s="27">
        <f ca="1">+TODAY()</f>
        <v>46158</v>
      </c>
      <c r="Q11" s="8"/>
      <c r="S11" s="109"/>
      <c r="T11" s="110"/>
      <c r="U11" s="110"/>
      <c r="V11" s="111"/>
    </row>
    <row r="12" spans="1:22" ht="31.5" customHeight="1" thickBot="1" x14ac:dyDescent="0.35">
      <c r="A12" s="13" t="s">
        <v>25</v>
      </c>
      <c r="B12" s="15" t="s">
        <v>26</v>
      </c>
      <c r="C12" s="134"/>
      <c r="D12" s="135"/>
      <c r="E12" s="135"/>
      <c r="F12" s="136"/>
      <c r="G12" s="75"/>
      <c r="H12" s="75"/>
      <c r="J12" s="16"/>
      <c r="K12" s="99" t="s">
        <v>3</v>
      </c>
      <c r="L12" s="100"/>
      <c r="M12" s="101"/>
      <c r="N12" s="19" t="s">
        <v>315</v>
      </c>
      <c r="O12" s="59" t="s">
        <v>4</v>
      </c>
      <c r="P12" s="28" t="s">
        <v>316</v>
      </c>
      <c r="Q12" s="8"/>
      <c r="S12" s="109"/>
      <c r="T12" s="110"/>
      <c r="U12" s="110"/>
      <c r="V12" s="111"/>
    </row>
    <row r="13" spans="1:22" ht="32.1" customHeight="1" thickBot="1" x14ac:dyDescent="0.35">
      <c r="A13" s="13" t="s">
        <v>27</v>
      </c>
      <c r="B13" s="15" t="s">
        <v>28</v>
      </c>
      <c r="J13" s="16"/>
      <c r="K13" s="60"/>
      <c r="L13" s="60"/>
      <c r="M13" s="141" t="s">
        <v>7</v>
      </c>
      <c r="N13" s="141"/>
      <c r="O13" s="141" t="s">
        <v>5</v>
      </c>
      <c r="P13" s="141"/>
      <c r="Q13" s="8"/>
      <c r="S13" s="112"/>
      <c r="T13" s="113"/>
      <c r="U13" s="113"/>
      <c r="V13" s="114"/>
    </row>
    <row r="14" spans="1:22" ht="32.1" customHeight="1" thickBot="1" x14ac:dyDescent="0.35">
      <c r="A14" s="13" t="s">
        <v>29</v>
      </c>
      <c r="B14" s="15" t="s">
        <v>30</v>
      </c>
      <c r="J14" s="16"/>
      <c r="K14" s="99" t="s">
        <v>6</v>
      </c>
      <c r="L14" s="100"/>
      <c r="M14" s="100"/>
      <c r="N14" s="100"/>
      <c r="O14" s="100"/>
      <c r="P14" s="101"/>
      <c r="Q14" s="8"/>
      <c r="S14" s="106" t="s">
        <v>227</v>
      </c>
      <c r="T14" s="107"/>
      <c r="U14" s="107"/>
      <c r="V14" s="108"/>
    </row>
    <row r="15" spans="1:22" ht="32.1" customHeight="1" thickBot="1" x14ac:dyDescent="0.35">
      <c r="A15" s="13" t="s">
        <v>31</v>
      </c>
      <c r="B15" s="15" t="s">
        <v>32</v>
      </c>
      <c r="J15" s="16"/>
      <c r="K15" s="144" t="s">
        <v>8</v>
      </c>
      <c r="L15" s="145"/>
      <c r="M15" s="142" t="s">
        <v>11</v>
      </c>
      <c r="N15" s="143"/>
      <c r="O15" s="29" t="s">
        <v>12</v>
      </c>
      <c r="P15" s="30"/>
      <c r="Q15" s="8"/>
      <c r="S15" s="109"/>
      <c r="T15" s="110"/>
      <c r="U15" s="110"/>
      <c r="V15" s="111"/>
    </row>
    <row r="16" spans="1:22" ht="39.950000000000003" customHeight="1" thickBot="1" x14ac:dyDescent="0.35">
      <c r="A16" s="13" t="s">
        <v>33</v>
      </c>
      <c r="B16" s="15" t="s">
        <v>34</v>
      </c>
      <c r="J16" s="16"/>
      <c r="K16" s="83" t="s">
        <v>19</v>
      </c>
      <c r="L16" s="84"/>
      <c r="M16" s="87" t="str">
        <f>IFERROR(INDEX($B$6:$B$18, MATCH(K16, $A$6:$A$18, 0)), " ")</f>
        <v xml:space="preserve">Reforzar cada logro por más pequeño que este sea. </v>
      </c>
      <c r="N16" s="88"/>
      <c r="O16" s="91"/>
      <c r="P16" s="92"/>
      <c r="Q16" s="8"/>
      <c r="S16" s="109"/>
      <c r="T16" s="110"/>
      <c r="U16" s="110"/>
      <c r="V16" s="111"/>
    </row>
    <row r="17" spans="1:22" ht="39.950000000000003" customHeight="1" thickBot="1" x14ac:dyDescent="0.35">
      <c r="A17" s="13" t="s">
        <v>35</v>
      </c>
      <c r="B17" s="15" t="s">
        <v>36</v>
      </c>
      <c r="J17" s="16"/>
      <c r="K17" s="85"/>
      <c r="L17" s="86"/>
      <c r="M17" s="89"/>
      <c r="N17" s="90"/>
      <c r="O17" s="93"/>
      <c r="P17" s="94"/>
      <c r="Q17" s="8"/>
      <c r="S17" s="112"/>
      <c r="T17" s="113"/>
      <c r="U17" s="113"/>
      <c r="V17" s="114"/>
    </row>
    <row r="18" spans="1:22" ht="39.950000000000003" customHeight="1" thickBot="1" x14ac:dyDescent="0.35">
      <c r="A18" s="13" t="s">
        <v>37</v>
      </c>
      <c r="B18" s="67" t="s">
        <v>38</v>
      </c>
      <c r="J18" s="16"/>
      <c r="K18" s="83" t="s">
        <v>17</v>
      </c>
      <c r="L18" s="84"/>
      <c r="M18" s="87" t="str">
        <f>IFERROR(INDEX($B$6:$B$18, MATCH(K18, $A$6:$A$18, 0)), " ")</f>
        <v xml:space="preserve">Brindar acercamiento físico y las manifestaciones de apoyo. </v>
      </c>
      <c r="N18" s="88"/>
      <c r="O18" s="91"/>
      <c r="P18" s="92"/>
      <c r="Q18" s="8"/>
    </row>
    <row r="19" spans="1:22" ht="39.950000000000003" customHeight="1" thickBot="1" x14ac:dyDescent="0.35">
      <c r="B19" s="25" t="s">
        <v>111</v>
      </c>
      <c r="J19" s="16"/>
      <c r="K19" s="85"/>
      <c r="L19" s="86"/>
      <c r="M19" s="89"/>
      <c r="N19" s="90"/>
      <c r="O19" s="93"/>
      <c r="P19" s="94"/>
      <c r="Q19" s="8"/>
    </row>
    <row r="20" spans="1:22" ht="39.950000000000003" customHeight="1" thickBot="1" x14ac:dyDescent="0.35">
      <c r="A20" s="12" t="s">
        <v>55</v>
      </c>
      <c r="B20" s="22" t="s">
        <v>56</v>
      </c>
      <c r="J20" s="16"/>
      <c r="K20" s="83" t="s">
        <v>15</v>
      </c>
      <c r="L20" s="84"/>
      <c r="M20" s="87" t="str">
        <f>IFERROR(INDEX($B$6:$B$18, MATCH(K20, $A$6:$A$18, 0)), " ")</f>
        <v xml:space="preserve">Utilizar la tutoría entre compañeros. </v>
      </c>
      <c r="N20" s="88"/>
      <c r="O20" s="91"/>
      <c r="P20" s="92"/>
      <c r="Q20" s="8"/>
    </row>
    <row r="21" spans="1:22" ht="39.950000000000003" customHeight="1" thickBot="1" x14ac:dyDescent="0.35">
      <c r="A21" s="13" t="s">
        <v>57</v>
      </c>
      <c r="B21" s="15" t="s">
        <v>58</v>
      </c>
      <c r="J21" s="16"/>
      <c r="K21" s="85"/>
      <c r="L21" s="86"/>
      <c r="M21" s="89"/>
      <c r="N21" s="90"/>
      <c r="O21" s="93"/>
      <c r="P21" s="94"/>
      <c r="Q21" s="8"/>
    </row>
    <row r="22" spans="1:22" ht="39.950000000000003" customHeight="1" thickBot="1" x14ac:dyDescent="0.35">
      <c r="A22" s="13" t="s">
        <v>59</v>
      </c>
      <c r="B22" s="15" t="s">
        <v>60</v>
      </c>
      <c r="J22" s="16"/>
      <c r="K22" s="83" t="s">
        <v>8</v>
      </c>
      <c r="L22" s="84"/>
      <c r="M22" s="95" t="s">
        <v>39</v>
      </c>
      <c r="N22" s="96"/>
      <c r="O22" s="95" t="s">
        <v>12</v>
      </c>
      <c r="P22" s="96"/>
      <c r="Q22" s="8"/>
    </row>
    <row r="23" spans="1:22" ht="39.950000000000003" customHeight="1" thickBot="1" x14ac:dyDescent="0.35">
      <c r="A23" s="13" t="s">
        <v>61</v>
      </c>
      <c r="B23" s="15" t="s">
        <v>62</v>
      </c>
      <c r="J23" s="16"/>
      <c r="K23" s="85"/>
      <c r="L23" s="86"/>
      <c r="M23" s="97"/>
      <c r="N23" s="98"/>
      <c r="O23" s="97"/>
      <c r="P23" s="98"/>
      <c r="Q23" s="8"/>
    </row>
    <row r="24" spans="1:22" ht="39.950000000000003" customHeight="1" thickBot="1" x14ac:dyDescent="0.35">
      <c r="A24" s="13" t="s">
        <v>63</v>
      </c>
      <c r="B24" s="14" t="s">
        <v>64</v>
      </c>
      <c r="J24" s="16"/>
      <c r="K24" s="83" t="s">
        <v>59</v>
      </c>
      <c r="L24" s="84"/>
      <c r="M24" s="87" t="str">
        <f>IFERROR(INDEX($B$20:$B$30, MATCH(K24, $A$20:$A$30, 0)), " ")</f>
        <v>Sentar al estudiante en un lugar donde tenga buena iluminación</v>
      </c>
      <c r="N24" s="88"/>
      <c r="O24" s="91"/>
      <c r="P24" s="92"/>
      <c r="Q24" s="8"/>
    </row>
    <row r="25" spans="1:22" ht="39.950000000000003" customHeight="1" thickBot="1" x14ac:dyDescent="0.35">
      <c r="A25" s="13" t="s">
        <v>65</v>
      </c>
      <c r="B25" s="15" t="s">
        <v>66</v>
      </c>
      <c r="J25" s="16"/>
      <c r="K25" s="85"/>
      <c r="L25" s="86"/>
      <c r="M25" s="89"/>
      <c r="N25" s="90"/>
      <c r="O25" s="93"/>
      <c r="P25" s="94"/>
      <c r="Q25" s="8"/>
    </row>
    <row r="26" spans="1:22" ht="39.950000000000003" customHeight="1" thickBot="1" x14ac:dyDescent="0.35">
      <c r="A26" s="13" t="s">
        <v>67</v>
      </c>
      <c r="B26" s="15" t="s">
        <v>68</v>
      </c>
      <c r="J26" s="16"/>
      <c r="K26" s="83" t="s">
        <v>67</v>
      </c>
      <c r="L26" s="84"/>
      <c r="M26" s="87" t="str">
        <f t="shared" ref="M26" si="0">IFERROR(INDEX($B$20:$B$30, MATCH(K26, $A$20:$A$30, 0)), " ")</f>
        <v>Organizar el tiempo y del espacio para mejorar el clima organizacional.</v>
      </c>
      <c r="N26" s="88"/>
      <c r="O26" s="91"/>
      <c r="P26" s="92"/>
      <c r="Q26" s="8"/>
    </row>
    <row r="27" spans="1:22" ht="39.950000000000003" customHeight="1" thickBot="1" x14ac:dyDescent="0.35">
      <c r="A27" s="13" t="s">
        <v>69</v>
      </c>
      <c r="B27" s="15" t="s">
        <v>70</v>
      </c>
      <c r="J27" s="16"/>
      <c r="K27" s="85"/>
      <c r="L27" s="86"/>
      <c r="M27" s="89"/>
      <c r="N27" s="90"/>
      <c r="O27" s="93"/>
      <c r="P27" s="94"/>
      <c r="Q27" s="8"/>
    </row>
    <row r="28" spans="1:22" ht="39.950000000000003" customHeight="1" thickBot="1" x14ac:dyDescent="0.35">
      <c r="A28" s="13" t="s">
        <v>71</v>
      </c>
      <c r="B28" s="15" t="s">
        <v>72</v>
      </c>
      <c r="J28" s="16"/>
      <c r="K28" s="83" t="s">
        <v>55</v>
      </c>
      <c r="L28" s="84"/>
      <c r="M28" s="87" t="str">
        <f t="shared" ref="M28" si="1">IFERROR(INDEX($B$20:$B$30, MATCH(K28, $A$20:$A$30, 0)), " ")</f>
        <v>Ubicar al estudiante cerca de compañeros que no se desconcentren.</v>
      </c>
      <c r="N28" s="88"/>
      <c r="O28" s="91"/>
      <c r="P28" s="92"/>
      <c r="Q28" s="8"/>
    </row>
    <row r="29" spans="1:22" ht="39.950000000000003" customHeight="1" thickBot="1" x14ac:dyDescent="0.35">
      <c r="A29" s="13" t="s">
        <v>73</v>
      </c>
      <c r="B29" s="15" t="s">
        <v>74</v>
      </c>
      <c r="J29" s="16"/>
      <c r="K29" s="85"/>
      <c r="L29" s="86"/>
      <c r="M29" s="89"/>
      <c r="N29" s="90"/>
      <c r="O29" s="93"/>
      <c r="P29" s="94"/>
      <c r="Q29" s="8"/>
    </row>
    <row r="30" spans="1:22" ht="39.950000000000003" customHeight="1" thickBot="1" x14ac:dyDescent="0.35">
      <c r="A30" s="13" t="s">
        <v>75</v>
      </c>
      <c r="B30" s="67" t="s">
        <v>76</v>
      </c>
      <c r="J30" s="16"/>
      <c r="K30" s="83" t="s">
        <v>8</v>
      </c>
      <c r="L30" s="84"/>
      <c r="M30" s="95" t="s">
        <v>112</v>
      </c>
      <c r="N30" s="96"/>
      <c r="O30" s="95" t="s">
        <v>12</v>
      </c>
      <c r="P30" s="96"/>
      <c r="Q30" s="8"/>
    </row>
    <row r="31" spans="1:22" ht="39.950000000000003" customHeight="1" thickBot="1" x14ac:dyDescent="0.35">
      <c r="J31" s="16"/>
      <c r="K31" s="85"/>
      <c r="L31" s="86"/>
      <c r="M31" s="97"/>
      <c r="N31" s="98"/>
      <c r="O31" s="97"/>
      <c r="P31" s="98"/>
      <c r="Q31" s="8"/>
    </row>
    <row r="32" spans="1:22" ht="39.950000000000003" customHeight="1" thickBot="1" x14ac:dyDescent="0.35">
      <c r="A32" s="23"/>
      <c r="B32" s="24" t="s">
        <v>77</v>
      </c>
      <c r="J32" s="16"/>
      <c r="K32" s="83" t="s">
        <v>89</v>
      </c>
      <c r="L32" s="84"/>
      <c r="M32" s="87" t="str">
        <f>IFERROR(INDEX($B$33:$B$49, MATCH(K32, $A$33:$A$49, 0)), " ")</f>
        <v>Usar láminas, mapas, gráficos y vídeos relacionados con los aprendizajes que se desarrollan.</v>
      </c>
      <c r="N32" s="88"/>
      <c r="O32" s="91"/>
      <c r="P32" s="92"/>
      <c r="Q32" s="8"/>
    </row>
    <row r="33" spans="1:17" ht="39.950000000000003" customHeight="1" thickBot="1" x14ac:dyDescent="0.35">
      <c r="A33" s="13" t="s">
        <v>75</v>
      </c>
      <c r="B33" s="15" t="s">
        <v>78</v>
      </c>
      <c r="J33" s="16"/>
      <c r="K33" s="85"/>
      <c r="L33" s="86"/>
      <c r="M33" s="89"/>
      <c r="N33" s="90"/>
      <c r="O33" s="93"/>
      <c r="P33" s="94"/>
      <c r="Q33" s="8"/>
    </row>
    <row r="34" spans="1:17" ht="39.950000000000003" customHeight="1" thickBot="1" x14ac:dyDescent="0.35">
      <c r="A34" s="13" t="s">
        <v>79</v>
      </c>
      <c r="B34" s="15" t="s">
        <v>80</v>
      </c>
      <c r="J34" s="16"/>
      <c r="K34" s="83" t="s">
        <v>103</v>
      </c>
      <c r="L34" s="84"/>
      <c r="M34" s="87" t="str">
        <f>IFERROR(INDEX($B$33:$B$49, MATCH(K34, $A$33:$A$49, 0)), " ")</f>
        <v>Facilitar material de reforzamiento para hacer en casa.</v>
      </c>
      <c r="N34" s="88"/>
      <c r="O34" s="91"/>
      <c r="P34" s="92"/>
      <c r="Q34" s="8"/>
    </row>
    <row r="35" spans="1:17" ht="39.950000000000003" customHeight="1" thickBot="1" x14ac:dyDescent="0.35">
      <c r="A35" s="13" t="s">
        <v>81</v>
      </c>
      <c r="B35" s="15" t="s">
        <v>82</v>
      </c>
      <c r="J35" s="16"/>
      <c r="K35" s="85"/>
      <c r="L35" s="86"/>
      <c r="M35" s="89"/>
      <c r="N35" s="90"/>
      <c r="O35" s="93"/>
      <c r="P35" s="94"/>
      <c r="Q35" s="8"/>
    </row>
    <row r="36" spans="1:17" ht="39.950000000000003" customHeight="1" thickBot="1" x14ac:dyDescent="0.35">
      <c r="A36" s="13" t="s">
        <v>83</v>
      </c>
      <c r="B36" s="15" t="s">
        <v>84</v>
      </c>
      <c r="J36" s="16"/>
      <c r="K36" s="83" t="s">
        <v>75</v>
      </c>
      <c r="L36" s="84"/>
      <c r="M36" s="87" t="str">
        <f>IFERROR(INDEX($B$33:$B$49, MATCH(K36, $A$33:$A$49, 0)), " ")</f>
        <v>Ampliar la letra al tamaño que el estudiante sienta mejor.</v>
      </c>
      <c r="N36" s="88"/>
      <c r="O36" s="91"/>
      <c r="P36" s="92"/>
      <c r="Q36" s="8"/>
    </row>
    <row r="37" spans="1:17" ht="39.950000000000003" customHeight="1" thickBot="1" x14ac:dyDescent="0.35">
      <c r="A37" s="13" t="s">
        <v>85</v>
      </c>
      <c r="B37" s="14" t="s">
        <v>86</v>
      </c>
      <c r="J37" s="16"/>
      <c r="K37" s="85"/>
      <c r="L37" s="86"/>
      <c r="M37" s="89"/>
      <c r="N37" s="90"/>
      <c r="O37" s="93"/>
      <c r="P37" s="94"/>
      <c r="Q37" s="8"/>
    </row>
    <row r="38" spans="1:17" ht="39.950000000000003" customHeight="1" thickBot="1" x14ac:dyDescent="0.35">
      <c r="A38" s="13" t="s">
        <v>87</v>
      </c>
      <c r="B38" s="15" t="s">
        <v>88</v>
      </c>
      <c r="J38" s="62"/>
      <c r="K38" s="63"/>
      <c r="L38" s="63"/>
      <c r="M38" s="10"/>
      <c r="N38" s="10"/>
      <c r="O38" s="10"/>
      <c r="P38" s="10"/>
      <c r="Q38" s="11"/>
    </row>
    <row r="39" spans="1:17" ht="39.950000000000003" customHeight="1" thickBot="1" x14ac:dyDescent="0.3">
      <c r="A39" s="13" t="s">
        <v>89</v>
      </c>
      <c r="B39" s="15" t="s">
        <v>90</v>
      </c>
    </row>
    <row r="40" spans="1:17" ht="39.950000000000003" customHeight="1" thickBot="1" x14ac:dyDescent="0.35">
      <c r="A40" s="13" t="s">
        <v>91</v>
      </c>
      <c r="B40" s="15" t="s">
        <v>92</v>
      </c>
      <c r="J40" s="20"/>
      <c r="K40" s="61"/>
      <c r="L40" s="61"/>
      <c r="M40" s="21"/>
      <c r="N40" s="21"/>
      <c r="O40" s="21"/>
      <c r="P40" s="21"/>
      <c r="Q40" s="5"/>
    </row>
    <row r="41" spans="1:17" ht="39.950000000000003" customHeight="1" thickBot="1" x14ac:dyDescent="0.35">
      <c r="A41" s="13" t="s">
        <v>93</v>
      </c>
      <c r="B41" s="15" t="s">
        <v>94</v>
      </c>
      <c r="J41" s="16"/>
      <c r="K41" s="83" t="s">
        <v>8</v>
      </c>
      <c r="L41" s="84"/>
      <c r="M41" s="95" t="s">
        <v>40</v>
      </c>
      <c r="N41" s="96"/>
      <c r="O41" s="95" t="s">
        <v>12</v>
      </c>
      <c r="P41" s="96"/>
      <c r="Q41" s="8"/>
    </row>
    <row r="42" spans="1:17" ht="39.950000000000003" customHeight="1" thickBot="1" x14ac:dyDescent="0.35">
      <c r="A42" s="13" t="s">
        <v>95</v>
      </c>
      <c r="B42" s="15" t="s">
        <v>96</v>
      </c>
      <c r="J42" s="16"/>
      <c r="K42" s="85"/>
      <c r="L42" s="86"/>
      <c r="M42" s="97"/>
      <c r="N42" s="98"/>
      <c r="O42" s="97"/>
      <c r="P42" s="98"/>
      <c r="Q42" s="8"/>
    </row>
    <row r="43" spans="1:17" ht="39.950000000000003" customHeight="1" thickBot="1" x14ac:dyDescent="0.35">
      <c r="A43" s="13" t="s">
        <v>97</v>
      </c>
      <c r="B43" s="15" t="s">
        <v>98</v>
      </c>
      <c r="J43" s="16"/>
      <c r="K43" s="83" t="s">
        <v>124</v>
      </c>
      <c r="L43" s="84"/>
      <c r="M43" s="87" t="str">
        <f>IFERROR(INDEX($B$53:$B$87, MATCH(K43, $A$53:$A$87, 0)), " ")</f>
        <v>Hablar siempre frente al estudiante (contacto visual).</v>
      </c>
      <c r="N43" s="88"/>
      <c r="O43" s="91"/>
      <c r="P43" s="92"/>
      <c r="Q43" s="8"/>
    </row>
    <row r="44" spans="1:17" ht="39.950000000000003" customHeight="1" thickBot="1" x14ac:dyDescent="0.35">
      <c r="A44" s="13" t="s">
        <v>99</v>
      </c>
      <c r="B44" s="15" t="s">
        <v>100</v>
      </c>
      <c r="J44" s="16"/>
      <c r="K44" s="85"/>
      <c r="L44" s="86"/>
      <c r="M44" s="89"/>
      <c r="N44" s="90"/>
      <c r="O44" s="93"/>
      <c r="P44" s="94"/>
      <c r="Q44" s="8"/>
    </row>
    <row r="45" spans="1:17" ht="39.950000000000003" customHeight="1" thickBot="1" x14ac:dyDescent="0.35">
      <c r="A45" s="13" t="s">
        <v>101</v>
      </c>
      <c r="B45" s="15" t="s">
        <v>102</v>
      </c>
      <c r="J45" s="16"/>
      <c r="K45" s="83" t="s">
        <v>126</v>
      </c>
      <c r="L45" s="84"/>
      <c r="M45" s="87" t="str">
        <f t="shared" ref="M45" si="2">IFERROR(INDEX($B$53:$B$87, MATCH(K45, $A$53:$A$87, 0)), " ")</f>
        <v>De ser necesario disminuir la longitud y la cantidad de las tareas y/o actividades.</v>
      </c>
      <c r="N45" s="88"/>
      <c r="O45" s="91"/>
      <c r="P45" s="92"/>
      <c r="Q45" s="8"/>
    </row>
    <row r="46" spans="1:17" ht="39.950000000000003" customHeight="1" thickBot="1" x14ac:dyDescent="0.35">
      <c r="A46" s="13" t="s">
        <v>103</v>
      </c>
      <c r="B46" s="15" t="s">
        <v>104</v>
      </c>
      <c r="J46" s="16"/>
      <c r="K46" s="85"/>
      <c r="L46" s="86"/>
      <c r="M46" s="89"/>
      <c r="N46" s="90"/>
      <c r="O46" s="93"/>
      <c r="P46" s="94"/>
      <c r="Q46" s="8"/>
    </row>
    <row r="47" spans="1:17" ht="39.950000000000003" customHeight="1" thickBot="1" x14ac:dyDescent="0.35">
      <c r="A47" s="13" t="s">
        <v>105</v>
      </c>
      <c r="B47" s="15" t="s">
        <v>106</v>
      </c>
      <c r="J47" s="16"/>
      <c r="K47" s="83" t="s">
        <v>174</v>
      </c>
      <c r="L47" s="84"/>
      <c r="M47" s="87" t="str">
        <f t="shared" ref="M47" si="3">IFERROR(INDEX($B$53:$B$87, MATCH(K47, $A$53:$A$87, 0)), " ")</f>
        <v>Establecer rutinas de trabajo.</v>
      </c>
      <c r="N47" s="88"/>
      <c r="O47" s="91"/>
      <c r="P47" s="92"/>
      <c r="Q47" s="8"/>
    </row>
    <row r="48" spans="1:17" ht="39.950000000000003" customHeight="1" thickBot="1" x14ac:dyDescent="0.35">
      <c r="A48" s="13" t="s">
        <v>107</v>
      </c>
      <c r="B48" s="15" t="s">
        <v>108</v>
      </c>
      <c r="J48" s="16"/>
      <c r="K48" s="85"/>
      <c r="L48" s="86"/>
      <c r="M48" s="89"/>
      <c r="N48" s="90"/>
      <c r="O48" s="93"/>
      <c r="P48" s="94"/>
      <c r="Q48" s="8"/>
    </row>
    <row r="49" spans="1:17" ht="39.950000000000003" customHeight="1" thickBot="1" x14ac:dyDescent="0.35">
      <c r="A49" s="13" t="s">
        <v>109</v>
      </c>
      <c r="B49" s="67" t="s">
        <v>76</v>
      </c>
      <c r="J49" s="16"/>
      <c r="K49" s="83" t="s">
        <v>8</v>
      </c>
      <c r="L49" s="84"/>
      <c r="M49" s="95" t="s">
        <v>41</v>
      </c>
      <c r="N49" s="96"/>
      <c r="O49" s="95" t="s">
        <v>12</v>
      </c>
      <c r="P49" s="96"/>
      <c r="Q49" s="8"/>
    </row>
    <row r="50" spans="1:17" ht="39.950000000000003" customHeight="1" thickBot="1" x14ac:dyDescent="0.35">
      <c r="J50" s="16"/>
      <c r="K50" s="85"/>
      <c r="L50" s="86"/>
      <c r="M50" s="97"/>
      <c r="N50" s="98"/>
      <c r="O50" s="97"/>
      <c r="P50" s="98"/>
      <c r="Q50" s="8"/>
    </row>
    <row r="51" spans="1:17" ht="39.950000000000003" customHeight="1" thickBot="1" x14ac:dyDescent="0.35">
      <c r="J51" s="16"/>
      <c r="K51" s="83" t="s">
        <v>208</v>
      </c>
      <c r="L51" s="84"/>
      <c r="M51" s="87" t="str">
        <f>IFERROR(INDEX($B$90:$B$104, MATCH(K51, $A$90:$A$104, 0)), " ")</f>
        <v>Usar la calculadora.</v>
      </c>
      <c r="N51" s="88"/>
      <c r="O51" s="91"/>
      <c r="P51" s="92"/>
      <c r="Q51" s="8"/>
    </row>
    <row r="52" spans="1:17" ht="39.950000000000003" customHeight="1" thickBot="1" x14ac:dyDescent="0.3">
      <c r="A52" s="23"/>
      <c r="B52" s="24" t="s">
        <v>113</v>
      </c>
      <c r="J52" s="6"/>
      <c r="K52" s="85"/>
      <c r="L52" s="86"/>
      <c r="M52" s="89"/>
      <c r="N52" s="90"/>
      <c r="O52" s="93"/>
      <c r="P52" s="94"/>
      <c r="Q52" s="2"/>
    </row>
    <row r="53" spans="1:17" ht="39.950000000000003" customHeight="1" thickBot="1" x14ac:dyDescent="0.3">
      <c r="A53" s="13" t="s">
        <v>114</v>
      </c>
      <c r="B53" s="15" t="s">
        <v>115</v>
      </c>
      <c r="J53" s="6"/>
      <c r="K53" s="83" t="s">
        <v>198</v>
      </c>
      <c r="L53" s="84"/>
      <c r="M53" s="87" t="str">
        <f t="shared" ref="M53" si="4">IFERROR(INDEX($B$90:$B$104, MATCH(K53, $A$90:$A$104, 0)), " ")</f>
        <v>Aplicar evaluaciones cortas y frecuentes.</v>
      </c>
      <c r="N53" s="88"/>
      <c r="O53" s="91"/>
      <c r="P53" s="92"/>
      <c r="Q53" s="2"/>
    </row>
    <row r="54" spans="1:17" ht="39.950000000000003" customHeight="1" thickBot="1" x14ac:dyDescent="0.3">
      <c r="A54" s="13" t="s">
        <v>116</v>
      </c>
      <c r="B54" s="15" t="s">
        <v>117</v>
      </c>
      <c r="J54" s="6"/>
      <c r="K54" s="85"/>
      <c r="L54" s="86"/>
      <c r="M54" s="89"/>
      <c r="N54" s="90"/>
      <c r="O54" s="93"/>
      <c r="P54" s="94"/>
      <c r="Q54" s="2"/>
    </row>
    <row r="55" spans="1:17" ht="39.950000000000003" customHeight="1" thickBot="1" x14ac:dyDescent="0.3">
      <c r="A55" s="13" t="s">
        <v>118</v>
      </c>
      <c r="B55" s="15" t="s">
        <v>119</v>
      </c>
      <c r="J55" s="6"/>
      <c r="K55" s="83" t="s">
        <v>208</v>
      </c>
      <c r="L55" s="84"/>
      <c r="M55" s="87" t="str">
        <f t="shared" ref="M55" si="5">IFERROR(INDEX($B$90:$B$104, MATCH(K55, $A$90:$A$104, 0)), " ")</f>
        <v>Usar la calculadora.</v>
      </c>
      <c r="N55" s="88"/>
      <c r="O55" s="91"/>
      <c r="P55" s="92"/>
      <c r="Q55" s="2"/>
    </row>
    <row r="56" spans="1:17" ht="39.950000000000003" customHeight="1" thickBot="1" x14ac:dyDescent="0.3">
      <c r="A56" s="13" t="s">
        <v>120</v>
      </c>
      <c r="B56" s="15" t="s">
        <v>121</v>
      </c>
      <c r="J56" s="6"/>
      <c r="K56" s="85"/>
      <c r="L56" s="86"/>
      <c r="M56" s="89"/>
      <c r="N56" s="90"/>
      <c r="O56" s="93"/>
      <c r="P56" s="94"/>
      <c r="Q56" s="2"/>
    </row>
    <row r="57" spans="1:17" ht="39.950000000000003" customHeight="1" thickBot="1" x14ac:dyDescent="0.3">
      <c r="A57" s="13" t="s">
        <v>122</v>
      </c>
      <c r="B57" s="14" t="s">
        <v>123</v>
      </c>
      <c r="J57" s="6"/>
      <c r="K57" s="7"/>
      <c r="L57" s="7"/>
      <c r="M57" s="7"/>
      <c r="N57" s="7"/>
      <c r="O57" s="7"/>
      <c r="P57" s="7"/>
      <c r="Q57" s="2"/>
    </row>
    <row r="58" spans="1:17" ht="39.950000000000003" customHeight="1" thickBot="1" x14ac:dyDescent="0.35">
      <c r="A58" s="13" t="s">
        <v>124</v>
      </c>
      <c r="B58" s="14" t="s">
        <v>125</v>
      </c>
      <c r="J58" s="6"/>
      <c r="K58" s="81" t="s">
        <v>42</v>
      </c>
      <c r="L58" s="81"/>
      <c r="M58" s="81"/>
      <c r="N58" s="81"/>
      <c r="O58" s="81"/>
      <c r="P58" s="81"/>
      <c r="Q58" s="2"/>
    </row>
    <row r="59" spans="1:17" ht="39.950000000000003" customHeight="1" thickBot="1" x14ac:dyDescent="0.3">
      <c r="A59" s="13" t="s">
        <v>126</v>
      </c>
      <c r="B59" s="15" t="s">
        <v>127</v>
      </c>
      <c r="J59" s="6"/>
      <c r="K59" s="82" t="s">
        <v>43</v>
      </c>
      <c r="L59" s="82"/>
      <c r="M59" s="82"/>
      <c r="N59" s="31" t="s">
        <v>47</v>
      </c>
      <c r="O59" s="31" t="s">
        <v>44</v>
      </c>
      <c r="P59" s="31" t="s">
        <v>45</v>
      </c>
      <c r="Q59" s="2"/>
    </row>
    <row r="60" spans="1:17" ht="39.950000000000003" customHeight="1" thickBot="1" x14ac:dyDescent="0.3">
      <c r="A60" s="13" t="s">
        <v>128</v>
      </c>
      <c r="B60" s="15" t="s">
        <v>129</v>
      </c>
      <c r="J60" s="6"/>
      <c r="K60" s="32" t="s">
        <v>46</v>
      </c>
      <c r="L60" s="31"/>
      <c r="M60" s="31"/>
      <c r="N60" s="31"/>
      <c r="O60" s="31"/>
      <c r="P60" s="31"/>
      <c r="Q60" s="2"/>
    </row>
    <row r="61" spans="1:17" ht="39.950000000000003" customHeight="1" thickBot="1" x14ac:dyDescent="0.4">
      <c r="A61" s="13" t="s">
        <v>130</v>
      </c>
      <c r="B61" s="15" t="s">
        <v>131</v>
      </c>
      <c r="J61" s="6"/>
      <c r="K61" s="32" t="s">
        <v>48</v>
      </c>
      <c r="L61" s="32"/>
      <c r="M61" s="32"/>
      <c r="N61" s="33"/>
      <c r="O61" s="33"/>
      <c r="P61" s="33"/>
      <c r="Q61" s="2"/>
    </row>
    <row r="62" spans="1:17" ht="39.950000000000003" customHeight="1" thickBot="1" x14ac:dyDescent="0.35">
      <c r="A62" s="13" t="s">
        <v>132</v>
      </c>
      <c r="B62" s="15" t="s">
        <v>133</v>
      </c>
      <c r="J62" s="6"/>
      <c r="K62" s="76"/>
      <c r="L62" s="77"/>
      <c r="M62" s="77"/>
      <c r="N62" s="77"/>
      <c r="O62" s="77"/>
      <c r="P62" s="78"/>
      <c r="Q62" s="2"/>
    </row>
    <row r="63" spans="1:17" ht="39.950000000000003" customHeight="1" thickBot="1" x14ac:dyDescent="0.35">
      <c r="A63" s="13" t="s">
        <v>134</v>
      </c>
      <c r="B63" s="15" t="s">
        <v>135</v>
      </c>
      <c r="J63" s="6"/>
      <c r="K63" s="76"/>
      <c r="L63" s="77"/>
      <c r="M63" s="77"/>
      <c r="N63" s="77"/>
      <c r="O63" s="77"/>
      <c r="P63" s="78"/>
      <c r="Q63" s="2"/>
    </row>
    <row r="64" spans="1:17" ht="39.950000000000003" customHeight="1" thickBot="1" x14ac:dyDescent="0.35">
      <c r="A64" s="13" t="s">
        <v>136</v>
      </c>
      <c r="B64" s="15" t="s">
        <v>137</v>
      </c>
      <c r="J64" s="6"/>
      <c r="K64" s="76"/>
      <c r="L64" s="77"/>
      <c r="M64" s="77"/>
      <c r="N64" s="77"/>
      <c r="O64" s="77"/>
      <c r="P64" s="78"/>
      <c r="Q64" s="8"/>
    </row>
    <row r="65" spans="1:17" ht="39.950000000000003" customHeight="1" thickBot="1" x14ac:dyDescent="0.3">
      <c r="A65" s="13" t="s">
        <v>138</v>
      </c>
      <c r="B65" s="15" t="s">
        <v>139</v>
      </c>
      <c r="J65" s="6"/>
      <c r="K65" s="69"/>
      <c r="L65" s="69"/>
      <c r="M65" s="69"/>
      <c r="N65" s="69"/>
      <c r="O65" s="69"/>
      <c r="P65" s="69"/>
      <c r="Q65" s="70"/>
    </row>
    <row r="66" spans="1:17" ht="39.950000000000003" customHeight="1" thickBot="1" x14ac:dyDescent="0.3">
      <c r="A66" s="13" t="s">
        <v>140</v>
      </c>
      <c r="B66" s="15" t="s">
        <v>141</v>
      </c>
      <c r="J66" s="6"/>
      <c r="K66" s="71" t="s">
        <v>50</v>
      </c>
      <c r="L66" s="71"/>
      <c r="M66" s="71"/>
      <c r="N66" s="71"/>
      <c r="O66" s="71" t="s">
        <v>50</v>
      </c>
      <c r="P66" s="71"/>
      <c r="Q66" s="34"/>
    </row>
    <row r="67" spans="1:17" ht="39.950000000000003" customHeight="1" thickBot="1" x14ac:dyDescent="0.3">
      <c r="A67" s="13" t="s">
        <v>142</v>
      </c>
      <c r="B67" s="15" t="s">
        <v>143</v>
      </c>
      <c r="J67" s="6"/>
      <c r="K67" s="79" t="s">
        <v>49</v>
      </c>
      <c r="L67" s="79"/>
      <c r="M67" s="79"/>
      <c r="N67" s="79"/>
      <c r="O67" s="79" t="s">
        <v>51</v>
      </c>
      <c r="P67" s="79"/>
      <c r="Q67" s="80"/>
    </row>
    <row r="68" spans="1:17" ht="39.950000000000003" customHeight="1" thickBot="1" x14ac:dyDescent="0.3">
      <c r="A68" s="13" t="s">
        <v>144</v>
      </c>
      <c r="B68" s="15" t="s">
        <v>145</v>
      </c>
      <c r="J68" s="6"/>
      <c r="K68" s="35"/>
      <c r="L68" s="35"/>
      <c r="M68" s="35"/>
      <c r="N68" s="35"/>
      <c r="O68" s="35"/>
      <c r="P68" s="35"/>
      <c r="Q68" s="36"/>
    </row>
    <row r="69" spans="1:17" ht="39.950000000000003" customHeight="1" thickBot="1" x14ac:dyDescent="0.3">
      <c r="A69" s="13" t="s">
        <v>146</v>
      </c>
      <c r="B69" s="15" t="s">
        <v>147</v>
      </c>
      <c r="J69" s="6"/>
      <c r="K69" s="35" t="s">
        <v>52</v>
      </c>
      <c r="L69" s="35"/>
      <c r="M69" s="35"/>
      <c r="N69" s="35"/>
      <c r="O69" s="35"/>
      <c r="P69" s="35"/>
      <c r="Q69" s="36"/>
    </row>
    <row r="70" spans="1:17" ht="39.950000000000003" customHeight="1" thickBot="1" x14ac:dyDescent="0.3">
      <c r="A70" s="13" t="s">
        <v>148</v>
      </c>
      <c r="B70" s="15" t="s">
        <v>149</v>
      </c>
      <c r="J70" s="6"/>
      <c r="K70" s="7"/>
      <c r="L70" s="7"/>
      <c r="M70" s="7"/>
      <c r="N70" s="7"/>
      <c r="O70" s="7"/>
      <c r="P70" s="7"/>
      <c r="Q70" s="8"/>
    </row>
    <row r="71" spans="1:17" ht="39.950000000000003" customHeight="1" thickBot="1" x14ac:dyDescent="0.3">
      <c r="A71" s="13" t="s">
        <v>150</v>
      </c>
      <c r="B71" s="15" t="s">
        <v>151</v>
      </c>
      <c r="J71" s="6"/>
      <c r="K71" s="7"/>
      <c r="L71" s="7"/>
      <c r="M71" s="7"/>
      <c r="N71" s="7"/>
      <c r="O71" s="7"/>
      <c r="P71" s="7"/>
      <c r="Q71" s="8"/>
    </row>
    <row r="72" spans="1:17" ht="39.950000000000003" customHeight="1" thickBot="1" x14ac:dyDescent="0.3">
      <c r="A72" s="13" t="s">
        <v>152</v>
      </c>
      <c r="B72" s="15" t="s">
        <v>153</v>
      </c>
      <c r="J72" s="6"/>
      <c r="K72" s="7"/>
      <c r="L72" s="7"/>
      <c r="M72" s="7"/>
      <c r="N72" s="7"/>
      <c r="O72" s="7"/>
      <c r="P72" s="7"/>
      <c r="Q72" s="8"/>
    </row>
    <row r="73" spans="1:17" ht="39.950000000000003" customHeight="1" thickBot="1" x14ac:dyDescent="0.3">
      <c r="A73" s="13" t="s">
        <v>154</v>
      </c>
      <c r="B73" s="15" t="s">
        <v>155</v>
      </c>
      <c r="J73" s="6"/>
      <c r="K73" s="137" t="s">
        <v>53</v>
      </c>
      <c r="L73" s="137"/>
      <c r="M73" s="137"/>
      <c r="N73" s="137"/>
      <c r="O73" s="137"/>
      <c r="P73" s="137"/>
      <c r="Q73" s="138"/>
    </row>
    <row r="74" spans="1:17" ht="39.950000000000003" customHeight="1" thickBot="1" x14ac:dyDescent="0.3">
      <c r="A74" s="13" t="s">
        <v>156</v>
      </c>
      <c r="B74" s="15" t="s">
        <v>157</v>
      </c>
      <c r="J74" s="9"/>
      <c r="K74" s="10"/>
      <c r="L74" s="10"/>
      <c r="M74" s="105" t="s">
        <v>54</v>
      </c>
      <c r="N74" s="105"/>
      <c r="O74" s="105"/>
      <c r="P74" s="105"/>
      <c r="Q74" s="11"/>
    </row>
    <row r="75" spans="1:17" ht="39.950000000000003" customHeight="1" thickBot="1" x14ac:dyDescent="0.3">
      <c r="A75" s="13" t="s">
        <v>158</v>
      </c>
      <c r="B75" s="15" t="s">
        <v>159</v>
      </c>
    </row>
    <row r="76" spans="1:17" ht="39.950000000000003" customHeight="1" thickBot="1" x14ac:dyDescent="0.3">
      <c r="A76" s="13" t="s">
        <v>160</v>
      </c>
      <c r="B76" s="15" t="s">
        <v>161</v>
      </c>
    </row>
    <row r="77" spans="1:17" ht="39.950000000000003" customHeight="1" thickBot="1" x14ac:dyDescent="0.3">
      <c r="A77" s="13" t="s">
        <v>162</v>
      </c>
      <c r="B77" s="15" t="s">
        <v>163</v>
      </c>
    </row>
    <row r="78" spans="1:17" ht="39.950000000000003" customHeight="1" thickBot="1" x14ac:dyDescent="0.3">
      <c r="A78" s="13" t="s">
        <v>164</v>
      </c>
      <c r="B78" s="15" t="s">
        <v>165</v>
      </c>
    </row>
    <row r="79" spans="1:17" ht="39.950000000000003" customHeight="1" thickBot="1" x14ac:dyDescent="0.3">
      <c r="A79" s="13" t="s">
        <v>166</v>
      </c>
      <c r="B79" s="15" t="s">
        <v>167</v>
      </c>
    </row>
    <row r="80" spans="1:17" ht="39.950000000000003" customHeight="1" thickBot="1" x14ac:dyDescent="0.3">
      <c r="A80" s="13" t="s">
        <v>168</v>
      </c>
      <c r="B80" s="15" t="s">
        <v>169</v>
      </c>
    </row>
    <row r="81" spans="1:2" ht="39.950000000000003" customHeight="1" thickBot="1" x14ac:dyDescent="0.3">
      <c r="A81" s="13" t="s">
        <v>170</v>
      </c>
      <c r="B81" s="15" t="s">
        <v>171</v>
      </c>
    </row>
    <row r="82" spans="1:2" ht="39.950000000000003" customHeight="1" thickBot="1" x14ac:dyDescent="0.3">
      <c r="A82" s="13" t="s">
        <v>172</v>
      </c>
      <c r="B82" s="15" t="s">
        <v>173</v>
      </c>
    </row>
    <row r="83" spans="1:2" ht="39.950000000000003" customHeight="1" thickBot="1" x14ac:dyDescent="0.3">
      <c r="A83" s="13" t="s">
        <v>174</v>
      </c>
      <c r="B83" s="15" t="s">
        <v>72</v>
      </c>
    </row>
    <row r="84" spans="1:2" ht="39.950000000000003" customHeight="1" thickBot="1" x14ac:dyDescent="0.3">
      <c r="A84" s="13" t="s">
        <v>175</v>
      </c>
      <c r="B84" s="15" t="s">
        <v>176</v>
      </c>
    </row>
    <row r="85" spans="1:2" ht="39.950000000000003" customHeight="1" thickBot="1" x14ac:dyDescent="0.3">
      <c r="A85" s="13" t="s">
        <v>177</v>
      </c>
      <c r="B85" s="15" t="s">
        <v>178</v>
      </c>
    </row>
    <row r="86" spans="1:2" ht="39.950000000000003" customHeight="1" thickBot="1" x14ac:dyDescent="0.3">
      <c r="A86" s="13" t="s">
        <v>179</v>
      </c>
      <c r="B86" s="15" t="s">
        <v>180</v>
      </c>
    </row>
    <row r="87" spans="1:2" ht="39.950000000000003" customHeight="1" thickBot="1" x14ac:dyDescent="0.3">
      <c r="A87" s="13" t="s">
        <v>181</v>
      </c>
      <c r="B87" s="67" t="s">
        <v>76</v>
      </c>
    </row>
    <row r="88" spans="1:2" ht="39.950000000000003" customHeight="1" thickBot="1" x14ac:dyDescent="0.3"/>
    <row r="89" spans="1:2" ht="39.950000000000003" customHeight="1" thickBot="1" x14ac:dyDescent="0.3">
      <c r="A89" s="23"/>
      <c r="B89" s="24" t="s">
        <v>182</v>
      </c>
    </row>
    <row r="90" spans="1:2" ht="39.950000000000003" customHeight="1" thickBot="1" x14ac:dyDescent="0.3">
      <c r="A90" s="13" t="s">
        <v>181</v>
      </c>
      <c r="B90" s="15" t="s">
        <v>183</v>
      </c>
    </row>
    <row r="91" spans="1:2" ht="39.950000000000003" customHeight="1" thickBot="1" x14ac:dyDescent="0.3">
      <c r="A91" s="13" t="s">
        <v>184</v>
      </c>
      <c r="B91" s="15" t="s">
        <v>185</v>
      </c>
    </row>
    <row r="92" spans="1:2" ht="39.950000000000003" customHeight="1" thickBot="1" x14ac:dyDescent="0.3">
      <c r="A92" s="13" t="s">
        <v>186</v>
      </c>
      <c r="B92" s="15" t="s">
        <v>187</v>
      </c>
    </row>
    <row r="93" spans="1:2" ht="39.950000000000003" customHeight="1" thickBot="1" x14ac:dyDescent="0.3">
      <c r="A93" s="13" t="s">
        <v>188</v>
      </c>
      <c r="B93" s="15" t="s">
        <v>189</v>
      </c>
    </row>
    <row r="94" spans="1:2" ht="39.950000000000003" customHeight="1" thickBot="1" x14ac:dyDescent="0.3">
      <c r="A94" s="13" t="s">
        <v>190</v>
      </c>
      <c r="B94" s="14" t="s">
        <v>191</v>
      </c>
    </row>
    <row r="95" spans="1:2" ht="39.950000000000003" customHeight="1" thickBot="1" x14ac:dyDescent="0.3">
      <c r="A95" s="13" t="s">
        <v>192</v>
      </c>
      <c r="B95" s="14" t="s">
        <v>193</v>
      </c>
    </row>
    <row r="96" spans="1:2" ht="39.950000000000003" customHeight="1" thickBot="1" x14ac:dyDescent="0.3">
      <c r="A96" s="13" t="s">
        <v>194</v>
      </c>
      <c r="B96" s="15" t="s">
        <v>195</v>
      </c>
    </row>
    <row r="97" spans="1:2" ht="39.950000000000003" customHeight="1" thickBot="1" x14ac:dyDescent="0.3">
      <c r="A97" s="13" t="s">
        <v>196</v>
      </c>
      <c r="B97" s="15" t="s">
        <v>197</v>
      </c>
    </row>
    <row r="98" spans="1:2" ht="39.950000000000003" customHeight="1" thickBot="1" x14ac:dyDescent="0.3">
      <c r="A98" s="13" t="s">
        <v>198</v>
      </c>
      <c r="B98" s="15" t="s">
        <v>199</v>
      </c>
    </row>
    <row r="99" spans="1:2" ht="39.950000000000003" customHeight="1" thickBot="1" x14ac:dyDescent="0.3">
      <c r="A99" s="13" t="s">
        <v>200</v>
      </c>
      <c r="B99" s="15" t="s">
        <v>201</v>
      </c>
    </row>
    <row r="100" spans="1:2" ht="39.950000000000003" customHeight="1" thickBot="1" x14ac:dyDescent="0.3">
      <c r="A100" s="13" t="s">
        <v>202</v>
      </c>
      <c r="B100" s="15" t="s">
        <v>203</v>
      </c>
    </row>
    <row r="101" spans="1:2" ht="39.950000000000003" customHeight="1" thickBot="1" x14ac:dyDescent="0.3">
      <c r="A101" s="13" t="s">
        <v>204</v>
      </c>
      <c r="B101" s="15" t="s">
        <v>205</v>
      </c>
    </row>
    <row r="102" spans="1:2" ht="39.950000000000003" customHeight="1" thickBot="1" x14ac:dyDescent="0.3">
      <c r="A102" s="13" t="s">
        <v>206</v>
      </c>
      <c r="B102" s="15" t="s">
        <v>207</v>
      </c>
    </row>
    <row r="103" spans="1:2" ht="39.950000000000003" customHeight="1" thickBot="1" x14ac:dyDescent="0.3">
      <c r="A103" s="13" t="s">
        <v>208</v>
      </c>
      <c r="B103" s="15" t="s">
        <v>209</v>
      </c>
    </row>
    <row r="104" spans="1:2" ht="39.950000000000003" customHeight="1" thickBot="1" x14ac:dyDescent="0.3">
      <c r="A104" s="13" t="s">
        <v>210</v>
      </c>
      <c r="B104" s="67" t="s">
        <v>76</v>
      </c>
    </row>
    <row r="105" spans="1:2" ht="39.950000000000003" customHeight="1" x14ac:dyDescent="0.25"/>
    <row r="106" spans="1:2" ht="39.950000000000003" customHeight="1" x14ac:dyDescent="0.25"/>
    <row r="107" spans="1:2" ht="39.950000000000003" customHeight="1" x14ac:dyDescent="0.25"/>
    <row r="108" spans="1:2" ht="39.950000000000003" customHeight="1" x14ac:dyDescent="0.25"/>
    <row r="109" spans="1:2" ht="39.950000000000003" customHeight="1" x14ac:dyDescent="0.25"/>
    <row r="110" spans="1:2" ht="39.950000000000003" customHeight="1" x14ac:dyDescent="0.25"/>
    <row r="111" spans="1:2" ht="39.950000000000003" customHeight="1" x14ac:dyDescent="0.25"/>
    <row r="112" spans="1:2" ht="39.950000000000003" customHeight="1" x14ac:dyDescent="0.25"/>
    <row r="113" ht="39.950000000000003" customHeight="1" x14ac:dyDescent="0.25"/>
    <row r="114" ht="39.950000000000003" customHeight="1" x14ac:dyDescent="0.25"/>
    <row r="115" ht="39.950000000000003" customHeight="1" x14ac:dyDescent="0.25"/>
    <row r="116" ht="39.950000000000003" customHeight="1" x14ac:dyDescent="0.25"/>
    <row r="117" ht="39.950000000000003" customHeight="1" x14ac:dyDescent="0.25"/>
    <row r="118" ht="39.950000000000003" customHeight="1" x14ac:dyDescent="0.25"/>
    <row r="119" ht="39.950000000000003" customHeight="1" x14ac:dyDescent="0.25"/>
    <row r="120" ht="39.950000000000003" customHeight="1" x14ac:dyDescent="0.25"/>
    <row r="121" ht="39.950000000000003" customHeight="1" x14ac:dyDescent="0.25"/>
    <row r="122" ht="39.950000000000003" customHeight="1" x14ac:dyDescent="0.25"/>
    <row r="123" ht="39.950000000000003" customHeight="1" x14ac:dyDescent="0.25"/>
    <row r="124" ht="39.950000000000003" customHeight="1" x14ac:dyDescent="0.25"/>
    <row r="125" ht="39.950000000000003" customHeight="1" x14ac:dyDescent="0.25"/>
    <row r="126" ht="39.950000000000003" customHeight="1" x14ac:dyDescent="0.25"/>
    <row r="127" ht="39.950000000000003" customHeight="1" x14ac:dyDescent="0.25"/>
    <row r="128" ht="39.950000000000003" customHeight="1" x14ac:dyDescent="0.25"/>
    <row r="129" ht="39.950000000000003" customHeight="1" x14ac:dyDescent="0.25"/>
    <row r="130" ht="39.950000000000003" customHeight="1" x14ac:dyDescent="0.25"/>
    <row r="131" ht="39.950000000000003" customHeight="1" x14ac:dyDescent="0.25"/>
    <row r="132" ht="39.950000000000003" customHeight="1" x14ac:dyDescent="0.25"/>
    <row r="133" ht="39.950000000000003" customHeight="1" x14ac:dyDescent="0.25"/>
    <row r="134" ht="39.950000000000003" customHeight="1" x14ac:dyDescent="0.25"/>
    <row r="135" ht="39.950000000000003" customHeight="1" x14ac:dyDescent="0.25"/>
    <row r="136" ht="39.950000000000003" customHeight="1" x14ac:dyDescent="0.25"/>
    <row r="137" ht="39.950000000000003" customHeight="1" x14ac:dyDescent="0.25"/>
    <row r="138" ht="39.950000000000003" customHeight="1" x14ac:dyDescent="0.25"/>
    <row r="139" ht="39.950000000000003" customHeight="1" x14ac:dyDescent="0.25"/>
    <row r="140" ht="39.950000000000003" customHeight="1" x14ac:dyDescent="0.25"/>
    <row r="141" ht="39.950000000000003" customHeight="1" x14ac:dyDescent="0.25"/>
    <row r="142" ht="39.950000000000003" customHeight="1" x14ac:dyDescent="0.25"/>
    <row r="143" ht="39.950000000000003" customHeight="1" x14ac:dyDescent="0.25"/>
    <row r="144" ht="39.950000000000003" customHeight="1" x14ac:dyDescent="0.25"/>
    <row r="145" ht="39.950000000000003" customHeight="1" x14ac:dyDescent="0.25"/>
    <row r="146" ht="39.950000000000003" customHeight="1" x14ac:dyDescent="0.25"/>
    <row r="147" ht="39.950000000000003" customHeight="1" x14ac:dyDescent="0.25"/>
    <row r="148" ht="39.950000000000003" customHeight="1" x14ac:dyDescent="0.25"/>
    <row r="149" ht="39.950000000000003" customHeight="1" x14ac:dyDescent="0.25"/>
    <row r="150" ht="39.950000000000003" customHeight="1" x14ac:dyDescent="0.25"/>
    <row r="151" ht="39.950000000000003" customHeight="1" x14ac:dyDescent="0.25"/>
    <row r="152" ht="39.950000000000003" customHeight="1" x14ac:dyDescent="0.25"/>
    <row r="153" ht="39.950000000000003" customHeight="1" x14ac:dyDescent="0.25"/>
    <row r="154" ht="39.950000000000003" customHeight="1" x14ac:dyDescent="0.25"/>
    <row r="155" ht="39.950000000000003" customHeight="1" x14ac:dyDescent="0.25"/>
    <row r="156" ht="39.950000000000003" customHeight="1" x14ac:dyDescent="0.25"/>
    <row r="157" ht="39.950000000000003" customHeight="1" x14ac:dyDescent="0.25"/>
    <row r="158" ht="39.950000000000003" customHeight="1" x14ac:dyDescent="0.25"/>
    <row r="159" ht="39.950000000000003" customHeight="1" x14ac:dyDescent="0.25"/>
    <row r="160" ht="39.950000000000003" customHeight="1" x14ac:dyDescent="0.25"/>
    <row r="161" ht="39.950000000000003" customHeight="1" x14ac:dyDescent="0.25"/>
    <row r="162" ht="39.950000000000003" customHeight="1" x14ac:dyDescent="0.25"/>
    <row r="163" ht="39.950000000000003" customHeight="1" x14ac:dyDescent="0.25"/>
    <row r="164" ht="39.950000000000003" customHeight="1" x14ac:dyDescent="0.25"/>
    <row r="165" ht="39.950000000000003" customHeight="1" x14ac:dyDescent="0.25"/>
    <row r="166" ht="39.950000000000003" customHeight="1" x14ac:dyDescent="0.25"/>
    <row r="167" ht="39.950000000000003" customHeight="1" x14ac:dyDescent="0.25"/>
    <row r="168" ht="39.950000000000003" customHeight="1" x14ac:dyDescent="0.25"/>
    <row r="169" ht="39.950000000000003" customHeight="1" x14ac:dyDescent="0.25"/>
    <row r="170" ht="39.950000000000003" customHeight="1" x14ac:dyDescent="0.25"/>
    <row r="171" ht="39.950000000000003" customHeight="1" x14ac:dyDescent="0.25"/>
    <row r="172" ht="39.950000000000003" customHeight="1" x14ac:dyDescent="0.25"/>
    <row r="173" ht="39.950000000000003" customHeight="1" x14ac:dyDescent="0.25"/>
    <row r="174" ht="39.950000000000003" customHeight="1" x14ac:dyDescent="0.25"/>
    <row r="175" ht="39.950000000000003" customHeight="1" x14ac:dyDescent="0.25"/>
    <row r="176" ht="39.950000000000003" customHeight="1" x14ac:dyDescent="0.25"/>
    <row r="177" ht="39.950000000000003" customHeight="1" x14ac:dyDescent="0.25"/>
    <row r="178" ht="39.950000000000003" customHeight="1" x14ac:dyDescent="0.25"/>
    <row r="179" ht="39.950000000000003" customHeight="1" x14ac:dyDescent="0.25"/>
    <row r="180" ht="39.950000000000003" customHeight="1" x14ac:dyDescent="0.25"/>
    <row r="181" ht="39.950000000000003" customHeight="1" x14ac:dyDescent="0.25"/>
    <row r="182" ht="39.950000000000003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</sheetData>
  <sheetProtection algorithmName="SHA-512" hashValue="TZ2GIgc+/GCtl/EnGbpqyNzBabNY+ThsrI4pBI7/yNykn/OakjiUwYI3G8imVfDwTFeC5yBw1reR9TobeyHzEA==" saltValue="u5O4E4/F8PQaZyB6KZHOwA==" spinCount="100000" sheet="1" formatCells="0" formatColumns="0" formatRows="0"/>
  <mergeCells count="85">
    <mergeCell ref="N1:O3"/>
    <mergeCell ref="B3:B4"/>
    <mergeCell ref="C5:F8"/>
    <mergeCell ref="S6:V9"/>
    <mergeCell ref="M7:O7"/>
    <mergeCell ref="C9:F12"/>
    <mergeCell ref="K9:O9"/>
    <mergeCell ref="K10:M10"/>
    <mergeCell ref="N10:O10"/>
    <mergeCell ref="S10:V13"/>
    <mergeCell ref="K11:M11"/>
    <mergeCell ref="N11:O11"/>
    <mergeCell ref="K12:M12"/>
    <mergeCell ref="M13:N13"/>
    <mergeCell ref="O13:P13"/>
    <mergeCell ref="S14:V17"/>
    <mergeCell ref="K15:L15"/>
    <mergeCell ref="M15:N15"/>
    <mergeCell ref="K16:L17"/>
    <mergeCell ref="M16:N17"/>
    <mergeCell ref="O16:P17"/>
    <mergeCell ref="K14:P14"/>
    <mergeCell ref="K18:L19"/>
    <mergeCell ref="M18:N19"/>
    <mergeCell ref="O18:P19"/>
    <mergeCell ref="K20:L21"/>
    <mergeCell ref="M20:N21"/>
    <mergeCell ref="O20:P21"/>
    <mergeCell ref="K22:L23"/>
    <mergeCell ref="M22:N23"/>
    <mergeCell ref="O22:P23"/>
    <mergeCell ref="K24:L25"/>
    <mergeCell ref="M24:N25"/>
    <mergeCell ref="O24:P25"/>
    <mergeCell ref="K26:L27"/>
    <mergeCell ref="M26:N27"/>
    <mergeCell ref="O26:P27"/>
    <mergeCell ref="K28:L29"/>
    <mergeCell ref="M28:N29"/>
    <mergeCell ref="O28:P29"/>
    <mergeCell ref="K30:L31"/>
    <mergeCell ref="M30:N31"/>
    <mergeCell ref="O30:P31"/>
    <mergeCell ref="K32:L33"/>
    <mergeCell ref="M32:N33"/>
    <mergeCell ref="O32:P33"/>
    <mergeCell ref="K34:L35"/>
    <mergeCell ref="M34:N35"/>
    <mergeCell ref="O34:P35"/>
    <mergeCell ref="K36:L37"/>
    <mergeCell ref="M36:N37"/>
    <mergeCell ref="O36:P37"/>
    <mergeCell ref="K41:L42"/>
    <mergeCell ref="M41:N42"/>
    <mergeCell ref="O41:P42"/>
    <mergeCell ref="K43:L44"/>
    <mergeCell ref="M43:N44"/>
    <mergeCell ref="O43:P44"/>
    <mergeCell ref="K45:L46"/>
    <mergeCell ref="M45:N46"/>
    <mergeCell ref="O45:P46"/>
    <mergeCell ref="K47:L48"/>
    <mergeCell ref="M47:N48"/>
    <mergeCell ref="O47:P48"/>
    <mergeCell ref="K49:L50"/>
    <mergeCell ref="M49:N50"/>
    <mergeCell ref="O49:P50"/>
    <mergeCell ref="K51:L52"/>
    <mergeCell ref="M51:N52"/>
    <mergeCell ref="O51:P52"/>
    <mergeCell ref="K53:L54"/>
    <mergeCell ref="M53:N54"/>
    <mergeCell ref="O53:P54"/>
    <mergeCell ref="K55:L56"/>
    <mergeCell ref="M55:N56"/>
    <mergeCell ref="O55:P56"/>
    <mergeCell ref="K73:Q73"/>
    <mergeCell ref="M74:P74"/>
    <mergeCell ref="K58:P58"/>
    <mergeCell ref="K59:M59"/>
    <mergeCell ref="K62:P62"/>
    <mergeCell ref="K63:P63"/>
    <mergeCell ref="K64:P64"/>
    <mergeCell ref="K67:N67"/>
    <mergeCell ref="O67:Q67"/>
  </mergeCells>
  <dataValidations count="5">
    <dataValidation type="list" allowBlank="1" showInputMessage="1" showErrorMessage="1" sqref="K32:L38" xr:uid="{141316F3-3BD1-4B73-9460-FF020AB5E01F}">
      <formula1>$A$33:$A$49</formula1>
    </dataValidation>
    <dataValidation type="list" allowBlank="1" showInputMessage="1" showErrorMessage="1" sqref="K51:L56" xr:uid="{ADC73BC4-0615-410F-A471-440D10547119}">
      <formula1>$A$89:$A$104</formula1>
    </dataValidation>
    <dataValidation type="list" allowBlank="1" showInputMessage="1" showErrorMessage="1" sqref="K43:L48" xr:uid="{8606382D-D568-4352-A959-CC941FBB947B}">
      <formula1>$A$52:$A$88</formula1>
    </dataValidation>
    <dataValidation type="list" allowBlank="1" showInputMessage="1" showErrorMessage="1" sqref="K24:L29" xr:uid="{A7359C7F-8069-48C5-AA63-C86CCB39EB62}">
      <formula1>$A$19:$A$30</formula1>
    </dataValidation>
    <dataValidation type="list" allowBlank="1" showInputMessage="1" showErrorMessage="1" sqref="K16:L21" xr:uid="{BF886DA3-2347-478A-86D7-A7A98605074A}">
      <formula1>$A$5:$A$18</formula1>
    </dataValidation>
  </dataValidations>
  <hyperlinks>
    <hyperlink ref="M74" r:id="rId1" display="mailto:ctp.desabalito@mep.go.cr" xr:uid="{36C1C4F7-8C21-44D2-9251-1CC8A55D663F}"/>
    <hyperlink ref="C9" r:id="rId2" xr:uid="{F29BF9B4-12BA-4EBB-993A-0468F55E8D0F}"/>
  </hyperlinks>
  <pageMargins left="0.7" right="0.7" top="0.75" bottom="0.75" header="0.3" footer="0.3"/>
  <pageSetup scale="50" fitToHeight="0" orientation="portrait" r:id="rId3"/>
  <rowBreaks count="1" manualBreakCount="1">
    <brk id="39" min="9" max="16" man="1"/>
  </rowBreaks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DC6C78-3A11-4306-8224-EBBAD38C77B7}">
          <x14:formula1>
            <xm:f>'LISTA DE ESTUDIANTES'!$B$2:$B$102</xm:f>
          </x14:formula1>
          <xm:sqref>N10:O10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LISTA DE ESTUDIANTES</vt:lpstr>
      <vt:lpstr>ESPAÑOL </vt:lpstr>
      <vt:lpstr>MATEMATICA</vt:lpstr>
      <vt:lpstr>'ESPAÑOL '!_Toc190024795</vt:lpstr>
      <vt:lpstr>MATEMATICA!_Toc190024795</vt:lpstr>
      <vt:lpstr>'ESPAÑOL '!Área_de_impresión</vt:lpstr>
      <vt:lpstr>MATEMATICA!Área_de_impresión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Personal</cp:lastModifiedBy>
  <cp:lastPrinted>2025-05-19T18:45:00Z</cp:lastPrinted>
  <dcterms:created xsi:type="dcterms:W3CDTF">2025-04-19T02:01:40Z</dcterms:created>
  <dcterms:modified xsi:type="dcterms:W3CDTF">2026-05-16T22:41:17Z</dcterms:modified>
</cp:coreProperties>
</file>