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ersonal\Desktop\ANEXO 2\ANEXO 2 CON LISTA\"/>
    </mc:Choice>
  </mc:AlternateContent>
  <xr:revisionPtr revIDLastSave="0" documentId="13_ncr:1_{5D334A09-A91A-40F2-A632-5E7924D614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A DE ESTUDIANTES SIGNI" sheetId="6" r:id="rId1"/>
    <sheet name="ANEXO 10" sheetId="5" r:id="rId2"/>
  </sheets>
  <definedNames>
    <definedName name="_Toc190024795" localSheetId="1">'ANEXO 10'!$Q$8</definedName>
    <definedName name="_xlnm.Print_Area" localSheetId="1">'ANEXO 10'!$J$5:$S$105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5" l="1"/>
  <c r="W4" i="5"/>
  <c r="Q10" i="5" s="1"/>
  <c r="L83" i="5"/>
  <c r="L81" i="5"/>
  <c r="L79" i="5"/>
  <c r="L70" i="5"/>
  <c r="L68" i="5"/>
  <c r="L66" i="5"/>
  <c r="L62" i="5"/>
  <c r="L60" i="5"/>
  <c r="L58" i="5"/>
  <c r="L54" i="5"/>
  <c r="L52" i="5"/>
  <c r="L50" i="5"/>
  <c r="L46" i="5"/>
  <c r="L44" i="5"/>
  <c r="L42" i="5"/>
  <c r="Q11" i="5"/>
</calcChain>
</file>

<file path=xl/sharedStrings.xml><?xml version="1.0" encoding="utf-8"?>
<sst xmlns="http://schemas.openxmlformats.org/spreadsheetml/2006/main" count="324" uniqueCount="279">
  <si>
    <t>Circuito: 06</t>
  </si>
  <si>
    <t>Nombre del estudiante:</t>
  </si>
  <si>
    <t>Nivel de Funcionamiento:</t>
  </si>
  <si>
    <t xml:space="preserve">Docente responsable:                                                      </t>
  </si>
  <si>
    <t xml:space="preserve"> Asignatura:</t>
  </si>
  <si>
    <t xml:space="preserve">              Segundo Período (    )</t>
  </si>
  <si>
    <t xml:space="preserve">Primer Período (  X  )  </t>
  </si>
  <si>
    <t xml:space="preserve">Código                                                   </t>
  </si>
  <si>
    <t>Curso lectivo 2025</t>
  </si>
  <si>
    <t xml:space="preserve">Resultados </t>
  </si>
  <si>
    <t xml:space="preserve">Utilizar su cercanía física para mantenerlo atento a la clase. </t>
  </si>
  <si>
    <t>A.P.1</t>
  </si>
  <si>
    <t>A.P.2</t>
  </si>
  <si>
    <t xml:space="preserve">Utilizar la tutoría entre compañeros. </t>
  </si>
  <si>
    <t>A.P.3</t>
  </si>
  <si>
    <t xml:space="preserve">Brindar acercamiento físico y las manifestaciones de apoyo. </t>
  </si>
  <si>
    <t>A.P.4</t>
  </si>
  <si>
    <t xml:space="preserve">Reforzar cada logro por más pequeño que este sea. </t>
  </si>
  <si>
    <t>A.P.5</t>
  </si>
  <si>
    <t xml:space="preserve">Reforzar la autoestima mediante actividades que le permitan éxito, particularizando en características cognitivas y sociales. </t>
  </si>
  <si>
    <t>A.P.6</t>
  </si>
  <si>
    <t xml:space="preserve">Utilizar constantemente la estrategia de trabajo cooperativo con la finalidad de que logre beneficiar y beneficiarse de las experiencias de otros compañeros y así reforzar su seguridad en la ejecución de los aprendizajes. </t>
  </si>
  <si>
    <t>A.P.7</t>
  </si>
  <si>
    <t xml:space="preserve">Dar responsabilidades especificas al estudiante dentro del aula y hogar para reforzar su autoconfianza generando responsabilidad e independencia. </t>
  </si>
  <si>
    <t>A.P.8</t>
  </si>
  <si>
    <t xml:space="preserve">Utilizar dentro de la propuesta pedagógica actividades que refuercen la autoestima como: expresión de sentimientos, respeto a la diferencia y tolerancia. </t>
  </si>
  <si>
    <t>A.P.9</t>
  </si>
  <si>
    <t xml:space="preserve">Utilizar reforzadores sociales como: "muy bien", "usted puede" y "siga así". </t>
  </si>
  <si>
    <t>A.P.10</t>
  </si>
  <si>
    <t xml:space="preserve">Utilizar canales sensoriales como: auditivos, kinestésico y táctil para presentar la materia. </t>
  </si>
  <si>
    <t>A.P.11</t>
  </si>
  <si>
    <t>Generar alguna técnica para recordar frecuentemente la entrega de trabajos a largo plazo.</t>
  </si>
  <si>
    <t>A.P.12</t>
  </si>
  <si>
    <t xml:space="preserve">Referir a otros especialistas (orientador, docente de apoyo, psicología, terapia física, terapia de lenguaje, otros). </t>
  </si>
  <si>
    <t>A.P.13</t>
  </si>
  <si>
    <t>Otros:</t>
  </si>
  <si>
    <t xml:space="preserve">Apoyos Organizativos (A.A) </t>
  </si>
  <si>
    <t>Apoyos Curriculares (Metodología)(A.C.)</t>
  </si>
  <si>
    <t xml:space="preserve">Apoyos Curriculares (Evaluación)(A.C) </t>
  </si>
  <si>
    <t>Marque con X los Apoyos Personales Específicos que recibe esta persona estudiante:</t>
  </si>
  <si>
    <t xml:space="preserve"> (   ) Problemas Emocionales </t>
  </si>
  <si>
    <t xml:space="preserve">(   ) Discap. Visual </t>
  </si>
  <si>
    <t xml:space="preserve">(   ) Problemas de Aprendizaje </t>
  </si>
  <si>
    <t xml:space="preserve">(  ) Terapia Física </t>
  </si>
  <si>
    <t xml:space="preserve">Recomendaciones:  </t>
  </si>
  <si>
    <t xml:space="preserve">Firma del    Profesor (a) 	</t>
  </si>
  <si>
    <t>____________________________________________</t>
  </si>
  <si>
    <t xml:space="preserve">VB.     Comité de Apoyo	</t>
  </si>
  <si>
    <t>Cc/ Expediente Único</t>
  </si>
  <si>
    <t>Puntarenas, Coto Brus, 600 metros sureste de la Tostadora de Café Río Brus, camino a Río Sereno.</t>
  </si>
  <si>
    <t>Teléfono (506) 2784-0616  / ctp.desabalito@mep.go.cr</t>
  </si>
  <si>
    <t>A.A.13</t>
  </si>
  <si>
    <t>Ubicar al estudiante cerca de compañeros que no se desconcentren.</t>
  </si>
  <si>
    <t>A.A.14</t>
  </si>
  <si>
    <t xml:space="preserve">Ubicar al estudiante donde mejor pueda ver la pizarra. </t>
  </si>
  <si>
    <t>A.A.15</t>
  </si>
  <si>
    <t>Sentar al estudiante en un lugar donde tenga buena iluminación</t>
  </si>
  <si>
    <t>A.A.16</t>
  </si>
  <si>
    <t>Considerar colocar los asientos en semicírculo.</t>
  </si>
  <si>
    <t>A.A.17</t>
  </si>
  <si>
    <t>Rotular objetos y partes importantes de la clase.</t>
  </si>
  <si>
    <t>A.A.18</t>
  </si>
  <si>
    <t>Organizar y agrupar los y las estudiantes de acuerdo con sus intereses motivacionales</t>
  </si>
  <si>
    <t>A.A.19</t>
  </si>
  <si>
    <t>Organizar el tiempo y del espacio para mejorar el clima organizacional.</t>
  </si>
  <si>
    <t>A.A.20</t>
  </si>
  <si>
    <t>Anotar la fecha de exámenes y entrega de trabajo en un lugar visible.</t>
  </si>
  <si>
    <t>A.A.21</t>
  </si>
  <si>
    <t>Establecer rutinas de trabajo.</t>
  </si>
  <si>
    <t>A.A.22</t>
  </si>
  <si>
    <t>Anotar en la pizarra el número de página y/o ejercicios a realizar.</t>
  </si>
  <si>
    <t>A.A.23</t>
  </si>
  <si>
    <t>Otras:</t>
  </si>
  <si>
    <t>Apoyos Materiales y Tecnológicos sugeridos</t>
  </si>
  <si>
    <t>Ampliar la letra al tamaño que el estudiante sienta mejor.</t>
  </si>
  <si>
    <t>A.A.24</t>
  </si>
  <si>
    <t>Permitir el uso de lámparas y lupas para que pueda tener una mejor visión.</t>
  </si>
  <si>
    <t>A.A.25</t>
  </si>
  <si>
    <t>Utilización de rotafolios escribiendo con marcador grueso y letra amplia como material de apoyo de temas vistos en clase.</t>
  </si>
  <si>
    <t>A.A.26</t>
  </si>
  <si>
    <t>Permitir el uso de dispositivos para que realice grabaciones en clases.</t>
  </si>
  <si>
    <t>A.A.27</t>
  </si>
  <si>
    <t>Usar marcadores gruesos preferiblemente azul o negro para escribir en la pizarra.</t>
  </si>
  <si>
    <t>A.A.28</t>
  </si>
  <si>
    <t>Permitir el uso del diccionario para ejecución de trabajo cotidiano y pruebas.</t>
  </si>
  <si>
    <t>A.A.29</t>
  </si>
  <si>
    <t>Usar láminas, mapas, gráficos y vídeos relacionados con los aprendizajes que se desarrollan.</t>
  </si>
  <si>
    <t>A.A.30</t>
  </si>
  <si>
    <t>Permitir el uso de las tablas de multiplicar para ejecución de trabajo cotidiano y pruebas.</t>
  </si>
  <si>
    <t>A.A.31</t>
  </si>
  <si>
    <t>Permitir el uso de la calculadora para la ejecución de trabajo cotidiano y pruebas.</t>
  </si>
  <si>
    <t>A.A.32</t>
  </si>
  <si>
    <t>Permitir el uso de fichas con las fórmulas matemáticas para ejecución de trabajo cotidiano y pruebas.</t>
  </si>
  <si>
    <t>A.A.33</t>
  </si>
  <si>
    <t>Al utilizar la explicación verbal acompáñela de una explicación visual gráfica.</t>
  </si>
  <si>
    <t>A.A.34</t>
  </si>
  <si>
    <t>Facilitar el material impreso en caso de ser necesario.</t>
  </si>
  <si>
    <t>A.A.35</t>
  </si>
  <si>
    <t>Brindar al estudiante fichas que contengan información de los aprendizajes vistos en clases.</t>
  </si>
  <si>
    <t>A.A.36</t>
  </si>
  <si>
    <t>Facilitar material de reforzamiento para hacer en casa.</t>
  </si>
  <si>
    <t>A.A.37</t>
  </si>
  <si>
    <t>Facilitar cuestionarios como material de apoyo.</t>
  </si>
  <si>
    <t>A.A.38</t>
  </si>
  <si>
    <t>Utilizar un diccionario ilustrado de conceptos básicos como palabras claves y estructuras gramaticales.</t>
  </si>
  <si>
    <t>A.A.39:</t>
  </si>
  <si>
    <t xml:space="preserve">Apoyos sugeridos que podría brindar el docente regular. </t>
  </si>
  <si>
    <t>Apoyos Organizativos Sugeridos</t>
  </si>
  <si>
    <t>Apoyos Materiales y Tecnológicos (A.A)</t>
  </si>
  <si>
    <t>Apoyos Curriculares (Metodología)</t>
  </si>
  <si>
    <t>A.C.39</t>
  </si>
  <si>
    <t>Ajustar los aprendizajes esperados del programa según nivel de funcionamiento.</t>
  </si>
  <si>
    <t>A.C.40</t>
  </si>
  <si>
    <t>Utilizar canales sensoriales como: auditivos, kinestésico y táctil para transmitir los aprendizajes.</t>
  </si>
  <si>
    <t>A.C.41</t>
  </si>
  <si>
    <t xml:space="preserve">Permitir más tiempo para terminar los trabajos cotidianos individualmente.  </t>
  </si>
  <si>
    <t>A.C.42</t>
  </si>
  <si>
    <t>Permitir al estudiante que se comunique como mejor pueda.</t>
  </si>
  <si>
    <t>A.C.43</t>
  </si>
  <si>
    <t>Apoyar en señas y gestos al comunicarse.</t>
  </si>
  <si>
    <t>A.C.44</t>
  </si>
  <si>
    <t>Hablar siempre frente al estudiante (contacto visual).</t>
  </si>
  <si>
    <t>A.C.45</t>
  </si>
  <si>
    <t>De ser necesario disminuir la longitud y la cantidad de las tareas y/o actividades.</t>
  </si>
  <si>
    <t>A.C.46</t>
  </si>
  <si>
    <t>Utilizar hojas y material de trabajo poco recargados.</t>
  </si>
  <si>
    <t>A.C.47</t>
  </si>
  <si>
    <t xml:space="preserve">Involucrar al estudiante durante la lección, es decir participación frecuente utilizando la realimentación.  </t>
  </si>
  <si>
    <t>A.C.48</t>
  </si>
  <si>
    <t xml:space="preserve">Dividir la actividad o tarea en partes y déselas una por una.  </t>
  </si>
  <si>
    <t>A.C.49</t>
  </si>
  <si>
    <t>Permitir un rato de descanso entre una actividad y otra.</t>
  </si>
  <si>
    <t>A.C.50</t>
  </si>
  <si>
    <t xml:space="preserve">Combinar la teoría con la práctica. </t>
  </si>
  <si>
    <t>A.C.51</t>
  </si>
  <si>
    <t>Solicitar al estudiante que repita las indicaciones para asegurarnos de que las haya entendido.</t>
  </si>
  <si>
    <t>A.C.52</t>
  </si>
  <si>
    <t xml:space="preserve">Apoyar las indicaciones orales con indicaciones escritas. </t>
  </si>
  <si>
    <t>A.C.53</t>
  </si>
  <si>
    <t>Dar las indicaciones de manera clara y correcta.</t>
  </si>
  <si>
    <t>A.C.54</t>
  </si>
  <si>
    <t>Hacer preguntas de repaso y control de la materia.</t>
  </si>
  <si>
    <t>A.C.55</t>
  </si>
  <si>
    <t>Describir reiteradamente las acciones solicitadas.</t>
  </si>
  <si>
    <t>A.C.56</t>
  </si>
  <si>
    <t>Utilizar dentro de la propuesta pedagógica actividades que refuercen la autoestima como: expresión de sentimientos, respeto a la diferencia y la tolerancia.</t>
  </si>
  <si>
    <t>A.C.57</t>
  </si>
  <si>
    <t>Dar responsabilidades específicas al estudiante dentro del aula para reforzar su autoconfianza generando responsabilidad e independencia.</t>
  </si>
  <si>
    <t>A.C.58</t>
  </si>
  <si>
    <t>Ajustar y/o modificar las prácticas hechas en clase al ritmo de aprendizaje del estudiante.</t>
  </si>
  <si>
    <t>A.C.59</t>
  </si>
  <si>
    <t>Tocar su hombro cuando se distrae o establezca un código para llamar su atención.</t>
  </si>
  <si>
    <t>A.C.60</t>
  </si>
  <si>
    <t>Permitir al estudiante use el dedo como guía al leer.</t>
  </si>
  <si>
    <t>A.C.61</t>
  </si>
  <si>
    <t>Reforzar constantemente los logros obtenidos.</t>
  </si>
  <si>
    <t>A.C.62</t>
  </si>
  <si>
    <t>Reducir la cantidad de palabras en una redacción.</t>
  </si>
  <si>
    <t>A.C.63</t>
  </si>
  <si>
    <t xml:space="preserve">Devolver los trabajos que realiza muy rápido para que los revise. </t>
  </si>
  <si>
    <t>A.C.64</t>
  </si>
  <si>
    <t>Dividir el trabajo de clase de tal manera que, si queda algo pendiente, pueda terminarlo en la casa.</t>
  </si>
  <si>
    <t>A.C.65</t>
  </si>
  <si>
    <t>Relacionar la escritura del estudiante con su fonética y no evaluar o restar puntos por el error.</t>
  </si>
  <si>
    <t>A.C.66</t>
  </si>
  <si>
    <t>Desarrollar metodología sobre un solo tema a la vez.</t>
  </si>
  <si>
    <t>A.C.67</t>
  </si>
  <si>
    <t>Facilitar prácticas de reforzamiento para hacer en casa.</t>
  </si>
  <si>
    <t>A.C.68</t>
  </si>
  <si>
    <t>Utilizar la técnica de la dramatización.</t>
  </si>
  <si>
    <t>A.C.69</t>
  </si>
  <si>
    <t>A.C.70</t>
  </si>
  <si>
    <t>Enseñar al estudiante a auto comprobarse utilizando señales.</t>
  </si>
  <si>
    <t>A.C.71</t>
  </si>
  <si>
    <t>Disminuir la cantidad de ejercicios repetitivos.</t>
  </si>
  <si>
    <t>A.C.72</t>
  </si>
  <si>
    <t>Trabajar con fichas.</t>
  </si>
  <si>
    <t>A.C.73</t>
  </si>
  <si>
    <t>Apoyos Curriculares sugeridos (Evaluación)</t>
  </si>
  <si>
    <t>Dar tiempo adicional para la realización de los trabajos en clase y las pruebas.</t>
  </si>
  <si>
    <t>A.C.74</t>
  </si>
  <si>
    <t>Utilizar solamente ítems de selección simple.</t>
  </si>
  <si>
    <t>A.C.75</t>
  </si>
  <si>
    <t>Resolver la prueba en recinto aparte.</t>
  </si>
  <si>
    <t>A.C.76</t>
  </si>
  <si>
    <t>Aplicar prueba específica.</t>
  </si>
  <si>
    <t>A.C.77</t>
  </si>
  <si>
    <t>Omitir la calificación de la caligrafía.</t>
  </si>
  <si>
    <t>A.C.78</t>
  </si>
  <si>
    <t>Ajustar el tamaño de la letra.</t>
  </si>
  <si>
    <t>A.C.79</t>
  </si>
  <si>
    <t>Aplicar una prueba por día.</t>
  </si>
  <si>
    <t>A.C.80</t>
  </si>
  <si>
    <t>Eliminar ítems memorísticos.</t>
  </si>
  <si>
    <t>A.C.81</t>
  </si>
  <si>
    <t>Aplicar evaluaciones cortas y frecuentes.</t>
  </si>
  <si>
    <t>A.C.82</t>
  </si>
  <si>
    <t>Tutor especialista.</t>
  </si>
  <si>
    <t>A.C.83</t>
  </si>
  <si>
    <t>Permitir emitir algunas respuestas de manera oral y la transcripción por parte de la persona docente, ante el rezago en el proceso de lectoescritura.</t>
  </si>
  <si>
    <t>A.C.84</t>
  </si>
  <si>
    <t>Permitir el uso del diccionario.</t>
  </si>
  <si>
    <t>A.C.85</t>
  </si>
  <si>
    <t>Usar tablas de multiplicar y formulas.</t>
  </si>
  <si>
    <t>A.C.86</t>
  </si>
  <si>
    <t>Usar la calculadora.</t>
  </si>
  <si>
    <t>A.C.87</t>
  </si>
  <si>
    <t>Estudiante</t>
  </si>
  <si>
    <t>Sección</t>
  </si>
  <si>
    <t>Cédula</t>
  </si>
  <si>
    <t>Nivel de funcionamiento</t>
  </si>
  <si>
    <t>7-2</t>
  </si>
  <si>
    <t>7-1</t>
  </si>
  <si>
    <t>8-1</t>
  </si>
  <si>
    <t>10-2</t>
  </si>
  <si>
    <t>11-1</t>
  </si>
  <si>
    <t>CTRL  + P, PARA IMPRIMIR O TAMBIÉN LO PUEDE GUARDAR COMO PDF</t>
  </si>
  <si>
    <t>ESCOJA UN ESTUDIANTE EN LA LISTA Y SE DEPLEGA TODA LA INFORMACIÓN RELACIONADA</t>
  </si>
  <si>
    <t xml:space="preserve">ELIJA UN CÓDIGO Y SE DESPLEGA LA INFORMACIÓN </t>
  </si>
  <si>
    <t xml:space="preserve">VIDEO DE USO: </t>
  </si>
  <si>
    <t>INGRESAR MATERIA</t>
  </si>
  <si>
    <t xml:space="preserve">GUÍA DE LOS CÓDIGOS </t>
  </si>
  <si>
    <t>ÁREA DE TRABAJO PARA EL INFORME</t>
  </si>
  <si>
    <t>INICIAL</t>
  </si>
  <si>
    <t>INTERMEDIO</t>
  </si>
  <si>
    <t xml:space="preserve">AVANZADO </t>
  </si>
  <si>
    <t xml:space="preserve">Aprendizajes Logrados según Operacionalización de la PEI en el Planeamiento Didáctico.                                                </t>
  </si>
  <si>
    <t>Resultados</t>
  </si>
  <si>
    <t>X</t>
  </si>
  <si>
    <t>ANEXO 10:
INFORME DE CONTROL DE AVANCE POR PERÍODO
(APOYO CURRICULAR SIGNIFICATIVO)</t>
  </si>
  <si>
    <t xml:space="preserve">( X ) Terapia de Lenguaje  </t>
  </si>
  <si>
    <t>https://youtu.be/ZbWi5ABxVTc</t>
  </si>
  <si>
    <t>SI PEGA LOS INDICADORES DE OTRO EXCEL, AL PEGARLO DEBE SER COMO FÓRMULAS, O BIEN ESCRIBIR CADA UNO</t>
  </si>
  <si>
    <t>Resultado 1</t>
  </si>
  <si>
    <t>Indicador 1</t>
  </si>
  <si>
    <t>Apoyos personales aplicados</t>
  </si>
  <si>
    <t>Gutiérrez Camacho Génesis</t>
  </si>
  <si>
    <t>Jiménez Segura Maynor</t>
  </si>
  <si>
    <t>Atencio Villarreal Airón</t>
  </si>
  <si>
    <t>López Alpízar Antony Adonais</t>
  </si>
  <si>
    <t>Losada Altamirano Amos</t>
  </si>
  <si>
    <t>Montero Ferreto Oscar José</t>
  </si>
  <si>
    <t>Caballero González Angie Guiselle</t>
  </si>
  <si>
    <t xml:space="preserve">Mata González Juan </t>
  </si>
  <si>
    <t>Rodríguez Rodríguez Adcison</t>
  </si>
  <si>
    <t>Wilson Mora Cristofer</t>
  </si>
  <si>
    <t>Chaves Francis Keisy</t>
  </si>
  <si>
    <t>8-2</t>
  </si>
  <si>
    <t>Degracia Ríos Ariana</t>
  </si>
  <si>
    <t>Sandi Mora Yocilen</t>
  </si>
  <si>
    <t>Torres Álvarez Dixon Bacduel</t>
  </si>
  <si>
    <t>Restrepo Mora Andrés Alexander</t>
  </si>
  <si>
    <t>9-2</t>
  </si>
  <si>
    <t>Castillo García Jefferson Fabian</t>
  </si>
  <si>
    <t>Sánchez Chinchilla Genesis Victoria</t>
  </si>
  <si>
    <t>Palacios González Gerald</t>
  </si>
  <si>
    <t>10-3</t>
  </si>
  <si>
    <t>Ramos Gómez Francini Taimara</t>
  </si>
  <si>
    <t>10-4</t>
  </si>
  <si>
    <t>Vásquez Martínez Karol Mariel</t>
  </si>
  <si>
    <t>Según expediente su nivel de funcionamiento es de quinto grado.</t>
  </si>
  <si>
    <t>No se observa en el expediente el ultimo nivel de funcionamiento, el docente debe determinar el nivel según su valoración del diagnóstico aplicado.</t>
  </si>
  <si>
    <t>Proviene de Plan Nacional. Falta Revisar expediente, porque no ha llegado a la institución.</t>
  </si>
  <si>
    <t>Ciencias III grado, Est Soc II grado, Matemáticas II grado, Ingles III grado, Religión III grado, las otras materias no aparece información en el expediente.</t>
  </si>
  <si>
    <t xml:space="preserve">Proveniente de plan nacional, Pendiente expediente. </t>
  </si>
  <si>
    <t>Según constancia de traslado presenta un nivel de funcionamiento de tercero.</t>
  </si>
  <si>
    <t>Revisar Expediente</t>
  </si>
  <si>
    <t xml:space="preserve">A partir de 10-04-25 </t>
  </si>
  <si>
    <t>Nivel de funcionamiento en el 2023 Est Soc III grado, Educación Cívica no aparece en el expediente, Ciencias III grado, Matemáticas III grado, Español III grado, Religión III grado e Ingles 5° grado en el 2022. El docente valora si lo sube de nivel.</t>
  </si>
  <si>
    <t>Nivel de funcionamiento en el 2023 Est Soc III grado, Educación Cívica no aparece en el expediente, Ciencias III grado, Matemáticas II grado, Español II grado, Ingles II grado y Religión III grado. El docente valora si lo sube de nivel.</t>
  </si>
  <si>
    <t>Nivel de funcionamiento según revisión de expediente el 07/05/25: en el 7° nivel la evaluaron en Matemáticas, Est.Soc, Cívica, español e inglés con nivel de funcionamiento de séptimo y en Ciencias con nivel de 4° grado, para este curso el docente valora el nivel de funcionamiento a trabajar.</t>
  </si>
  <si>
    <t>ADNS A partir del 05 de setiembre 2024 por proceso de levantamiento del ADS.</t>
  </si>
  <si>
    <t>Según información dada por los docentes en el 2023 en el nivel de 8° tenía el nivel de funcionamiento. Español 8° simplificado, Matemáticas 7°, Ciencias 7°, Est. Soc 8°, Cívica 8°, Ingles 8° simplificado, Religión 8°, Contabilidad 8°.</t>
  </si>
  <si>
    <t>Audición: A partir de 10-04-25 se valorará con ADNS por solicitud de levantamiento de su apoyo.</t>
  </si>
  <si>
    <t>Nivel de Funcionamiento 7°</t>
  </si>
  <si>
    <t xml:space="preserve">A partir de 24-02-25 </t>
  </si>
  <si>
    <t>A partir de 26-09-24  ADNS por solicitud de levantamiento de su apoyo.</t>
  </si>
  <si>
    <t>Institución: Colegio Nocturno La Cuesta</t>
  </si>
  <si>
    <t>Gerardo Ramirez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</si>
</sst>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A]d&quot; de &quot;mmmm&quot; de &quot;yyyy;@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1"/>
      <name val="Times New Roman"/>
      <family val="1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20"/>
      <color rgb="FF0070C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205">
    <xf numFmtId="0" fontId="0" fillId="0" borderId="0" xfId="0"/>
    <xf numFmtId="0" fontId="1" fillId="0" borderId="0" xfId="0" applyFont="1"/>
    <xf numFmtId="0" fontId="0" fillId="0" borderId="6" xfId="0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justify" vertical="center" wrapText="1"/>
    </xf>
    <xf numFmtId="0" fontId="10" fillId="0" borderId="5" xfId="0" applyFont="1" applyBorder="1"/>
    <xf numFmtId="0" fontId="5" fillId="0" borderId="0" xfId="0" applyFont="1" applyBorder="1"/>
    <xf numFmtId="0" fontId="5" fillId="0" borderId="10" xfId="0" applyFont="1" applyBorder="1" applyProtection="1">
      <protection locked="0"/>
    </xf>
    <xf numFmtId="0" fontId="10" fillId="0" borderId="2" xfId="0" applyFont="1" applyBorder="1"/>
    <xf numFmtId="0" fontId="2" fillId="0" borderId="12" xfId="0" applyFont="1" applyBorder="1" applyAlignment="1">
      <alignment horizontal="justify" vertical="center" wrapText="1"/>
    </xf>
    <xf numFmtId="0" fontId="12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0" xfId="0" applyFont="1"/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/>
    <xf numFmtId="0" fontId="15" fillId="0" borderId="6" xfId="0" applyFont="1" applyBorder="1" applyAlignment="1"/>
    <xf numFmtId="0" fontId="15" fillId="0" borderId="0" xfId="0" applyFont="1" applyBorder="1"/>
    <xf numFmtId="0" fontId="15" fillId="0" borderId="6" xfId="0" applyFont="1" applyBorder="1"/>
    <xf numFmtId="0" fontId="4" fillId="2" borderId="1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1" fillId="0" borderId="0" xfId="0" applyFont="1" applyProtection="1">
      <protection hidden="1"/>
    </xf>
    <xf numFmtId="0" fontId="13" fillId="0" borderId="0" xfId="0" applyFont="1" applyBorder="1" applyProtection="1">
      <protection locked="0"/>
    </xf>
    <xf numFmtId="0" fontId="10" fillId="0" borderId="7" xfId="0" applyFont="1" applyBorder="1"/>
    <xf numFmtId="0" fontId="18" fillId="0" borderId="0" xfId="0" applyFont="1" applyBorder="1" applyAlignment="1">
      <alignment horizontal="center"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14" xfId="0" applyFont="1" applyBorder="1" applyAlignment="1" applyProtection="1">
      <alignment horizontal="justify" vertical="center" wrapText="1"/>
      <protection locked="0"/>
    </xf>
    <xf numFmtId="0" fontId="12" fillId="0" borderId="21" xfId="0" applyFont="1" applyBorder="1" applyAlignment="1">
      <alignment vertical="center" wrapText="1"/>
    </xf>
    <xf numFmtId="0" fontId="15" fillId="0" borderId="0" xfId="0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0" fontId="3" fillId="0" borderId="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 applyProtection="1">
      <alignment horizontal="left" vertical="top" wrapText="1"/>
      <protection locked="0"/>
    </xf>
    <xf numFmtId="0" fontId="6" fillId="0" borderId="6" xfId="0" applyFont="1" applyBorder="1" applyAlignment="1">
      <alignment vertical="center" wrapText="1"/>
    </xf>
    <xf numFmtId="0" fontId="7" fillId="0" borderId="0" xfId="0" applyFont="1" applyBorder="1" applyAlignment="1">
      <alignment wrapText="1"/>
    </xf>
    <xf numFmtId="0" fontId="6" fillId="0" borderId="5" xfId="0" applyFont="1" applyBorder="1" applyAlignment="1" applyProtection="1">
      <alignment horizontal="left" vertical="center"/>
      <protection locked="0"/>
    </xf>
    <xf numFmtId="0" fontId="0" fillId="0" borderId="0" xfId="0" applyBorder="1" applyAlignment="1">
      <alignment horizontal="center" vertical="top"/>
    </xf>
    <xf numFmtId="0" fontId="6" fillId="0" borderId="6" xfId="0" applyFont="1" applyBorder="1" applyAlignment="1" applyProtection="1">
      <alignment vertical="center"/>
      <protection locked="0"/>
    </xf>
    <xf numFmtId="0" fontId="14" fillId="0" borderId="6" xfId="0" applyFont="1" applyBorder="1"/>
    <xf numFmtId="0" fontId="0" fillId="0" borderId="1" xfId="0" applyBorder="1"/>
    <xf numFmtId="0" fontId="4" fillId="2" borderId="19" xfId="0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8" fillId="2" borderId="19" xfId="0" applyFont="1" applyFill="1" applyBorder="1" applyAlignment="1" applyProtection="1">
      <alignment vertical="center" wrapText="1"/>
      <protection locked="0"/>
    </xf>
    <xf numFmtId="49" fontId="16" fillId="3" borderId="1" xfId="0" applyNumberFormat="1" applyFont="1" applyFill="1" applyBorder="1" applyAlignment="1" applyProtection="1">
      <alignment horizontal="center" wrapText="1"/>
      <protection locked="0"/>
    </xf>
    <xf numFmtId="0" fontId="17" fillId="4" borderId="1" xfId="0" applyFont="1" applyFill="1" applyBorder="1" applyAlignment="1" applyProtection="1">
      <alignment horizontal="center" wrapText="1"/>
      <protection locked="0"/>
    </xf>
    <xf numFmtId="0" fontId="8" fillId="2" borderId="19" xfId="0" applyFont="1" applyFill="1" applyBorder="1" applyProtection="1">
      <protection locked="0"/>
    </xf>
    <xf numFmtId="0" fontId="17" fillId="4" borderId="1" xfId="0" applyFont="1" applyFill="1" applyBorder="1" applyAlignment="1" applyProtection="1">
      <alignment horizontal="center"/>
      <protection locked="0"/>
    </xf>
    <xf numFmtId="0" fontId="17" fillId="4" borderId="1" xfId="0" applyFont="1" applyFill="1" applyBorder="1" applyAlignment="1" applyProtection="1">
      <alignment horizontal="center" vertical="center"/>
      <protection locked="0"/>
    </xf>
    <xf numFmtId="0" fontId="8" fillId="2" borderId="19" xfId="0" applyFont="1" applyFill="1" applyBorder="1" applyAlignment="1" applyProtection="1">
      <alignment vertical="center"/>
      <protection locked="0"/>
    </xf>
    <xf numFmtId="0" fontId="8" fillId="4" borderId="1" xfId="0" applyFont="1" applyFill="1" applyBorder="1" applyAlignment="1" applyProtection="1">
      <alignment horizont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16" fillId="2" borderId="19" xfId="0" applyFont="1" applyFill="1" applyBorder="1" applyAlignment="1" applyProtection="1">
      <alignment wrapText="1"/>
      <protection locked="0"/>
    </xf>
    <xf numFmtId="49" fontId="17" fillId="4" borderId="1" xfId="0" applyNumberFormat="1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wrapText="1"/>
      <protection locked="0"/>
    </xf>
    <xf numFmtId="0" fontId="16" fillId="2" borderId="19" xfId="0" applyFont="1" applyFill="1" applyBorder="1" applyProtection="1">
      <protection locked="0"/>
    </xf>
    <xf numFmtId="49" fontId="16" fillId="3" borderId="1" xfId="0" applyNumberFormat="1" applyFont="1" applyFill="1" applyBorder="1" applyAlignment="1" applyProtection="1">
      <alignment horizontal="center"/>
      <protection locked="0"/>
    </xf>
    <xf numFmtId="49" fontId="8" fillId="4" borderId="1" xfId="0" applyNumberFormat="1" applyFon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15" fillId="0" borderId="8" xfId="0" applyFont="1" applyBorder="1" applyProtection="1">
      <protection locked="0"/>
    </xf>
    <xf numFmtId="0" fontId="15" fillId="0" borderId="8" xfId="0" applyFont="1" applyBorder="1"/>
    <xf numFmtId="0" fontId="15" fillId="0" borderId="0" xfId="0" applyFont="1"/>
    <xf numFmtId="0" fontId="15" fillId="0" borderId="16" xfId="0" applyFont="1" applyBorder="1" applyProtection="1">
      <protection locked="0"/>
    </xf>
    <xf numFmtId="0" fontId="15" fillId="0" borderId="16" xfId="0" applyFont="1" applyBorder="1"/>
    <xf numFmtId="0" fontId="15" fillId="0" borderId="3" xfId="0" applyFont="1" applyBorder="1"/>
    <xf numFmtId="0" fontId="3" fillId="0" borderId="15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5" fillId="0" borderId="0" xfId="0" applyFont="1" applyBorder="1" applyAlignment="1" applyProtection="1">
      <alignment horizontal="left" vertical="top" wrapText="1"/>
      <protection locked="0"/>
    </xf>
    <xf numFmtId="0" fontId="10" fillId="0" borderId="0" xfId="0" applyFont="1" applyBorder="1"/>
    <xf numFmtId="0" fontId="10" fillId="0" borderId="8" xfId="0" applyFont="1" applyBorder="1"/>
    <xf numFmtId="0" fontId="10" fillId="0" borderId="3" xfId="0" applyFont="1" applyBorder="1" applyProtection="1">
      <protection locked="0"/>
    </xf>
    <xf numFmtId="0" fontId="7" fillId="0" borderId="0" xfId="0" applyFont="1" applyBorder="1" applyProtection="1">
      <protection locked="0"/>
    </xf>
    <xf numFmtId="0" fontId="4" fillId="5" borderId="29" xfId="0" applyFont="1" applyFill="1" applyBorder="1" applyAlignment="1" applyProtection="1">
      <alignment horizontal="center"/>
      <protection locked="0"/>
    </xf>
    <xf numFmtId="0" fontId="4" fillId="5" borderId="19" xfId="0" applyFont="1" applyFill="1" applyBorder="1" applyAlignment="1" applyProtection="1">
      <alignment horizontal="center"/>
      <protection locked="0"/>
    </xf>
    <xf numFmtId="0" fontId="16" fillId="5" borderId="29" xfId="0" applyFont="1" applyFill="1" applyBorder="1" applyAlignment="1" applyProtection="1">
      <alignment horizontal="left"/>
      <protection locked="0"/>
    </xf>
    <xf numFmtId="0" fontId="16" fillId="5" borderId="19" xfId="0" applyFont="1" applyFill="1" applyBorder="1" applyAlignment="1" applyProtection="1">
      <alignment horizontal="left"/>
      <protection locked="0"/>
    </xf>
    <xf numFmtId="0" fontId="4" fillId="5" borderId="29" xfId="0" applyFont="1" applyFill="1" applyBorder="1" applyAlignment="1">
      <alignment horizontal="left"/>
    </xf>
    <xf numFmtId="0" fontId="4" fillId="5" borderId="19" xfId="0" applyFont="1" applyFill="1" applyBorder="1" applyAlignment="1">
      <alignment horizontal="left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22" fillId="0" borderId="2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 wrapText="1"/>
    </xf>
    <xf numFmtId="0" fontId="15" fillId="0" borderId="2" xfId="0" applyFont="1" applyBorder="1" applyAlignment="1" applyProtection="1">
      <alignment horizontal="left" vertical="top" wrapText="1"/>
      <protection locked="0"/>
    </xf>
    <xf numFmtId="0" fontId="15" fillId="0" borderId="3" xfId="0" applyFont="1" applyBorder="1" applyAlignment="1" applyProtection="1">
      <alignment horizontal="left" vertical="top" wrapText="1"/>
      <protection locked="0"/>
    </xf>
    <xf numFmtId="0" fontId="15" fillId="0" borderId="4" xfId="0" applyFont="1" applyBorder="1" applyAlignment="1" applyProtection="1">
      <alignment horizontal="left" vertical="top" wrapText="1"/>
      <protection locked="0"/>
    </xf>
    <xf numFmtId="0" fontId="15" fillId="0" borderId="7" xfId="0" applyFont="1" applyBorder="1" applyAlignment="1" applyProtection="1">
      <alignment horizontal="left" vertical="top" wrapText="1"/>
      <protection locked="0"/>
    </xf>
    <xf numFmtId="0" fontId="15" fillId="0" borderId="8" xfId="0" applyFont="1" applyBorder="1" applyAlignment="1" applyProtection="1">
      <alignment horizontal="left" vertical="top" wrapText="1"/>
      <protection locked="0"/>
    </xf>
    <xf numFmtId="0" fontId="15" fillId="0" borderId="9" xfId="0" applyFont="1" applyBorder="1" applyAlignment="1" applyProtection="1">
      <alignment horizontal="left" vertical="top" wrapText="1"/>
      <protection locked="0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2" fillId="0" borderId="2" xfId="0" applyFont="1" applyBorder="1" applyAlignment="1" applyProtection="1">
      <alignment horizontal="left" vertical="top" wrapText="1"/>
      <protection locked="0"/>
    </xf>
    <xf numFmtId="0" fontId="22" fillId="0" borderId="3" xfId="0" applyFont="1" applyBorder="1" applyAlignment="1" applyProtection="1">
      <alignment horizontal="left" vertical="top" wrapText="1"/>
      <protection locked="0"/>
    </xf>
    <xf numFmtId="0" fontId="22" fillId="0" borderId="4" xfId="0" applyFont="1" applyBorder="1" applyAlignment="1" applyProtection="1">
      <alignment horizontal="left" vertical="top" wrapText="1"/>
      <protection locked="0"/>
    </xf>
    <xf numFmtId="0" fontId="22" fillId="0" borderId="7" xfId="0" applyFont="1" applyBorder="1" applyAlignment="1" applyProtection="1">
      <alignment horizontal="left" vertical="top" wrapText="1"/>
      <protection locked="0"/>
    </xf>
    <xf numFmtId="0" fontId="22" fillId="0" borderId="8" xfId="0" applyFont="1" applyBorder="1" applyAlignment="1" applyProtection="1">
      <alignment horizontal="left" vertical="top" wrapText="1"/>
      <protection locked="0"/>
    </xf>
    <xf numFmtId="0" fontId="22" fillId="0" borderId="9" xfId="0" applyFont="1" applyBorder="1" applyAlignment="1" applyProtection="1">
      <alignment horizontal="left" vertical="top" wrapText="1"/>
      <protection locked="0"/>
    </xf>
    <xf numFmtId="0" fontId="26" fillId="0" borderId="2" xfId="0" applyFont="1" applyBorder="1" applyAlignment="1" applyProtection="1">
      <alignment horizontal="center" vertical="center" wrapText="1"/>
      <protection locked="0"/>
    </xf>
    <xf numFmtId="0" fontId="26" fillId="0" borderId="7" xfId="0" applyFont="1" applyBorder="1" applyAlignment="1" applyProtection="1">
      <alignment horizontal="center" vertical="center" wrapText="1"/>
      <protection locked="0"/>
    </xf>
    <xf numFmtId="0" fontId="20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4" fillId="0" borderId="2" xfId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6" fillId="0" borderId="0" xfId="0" applyFont="1" applyBorder="1" applyAlignment="1" applyProtection="1">
      <alignment vertical="center" wrapText="1"/>
      <protection locked="0"/>
    </xf>
    <xf numFmtId="0" fontId="6" fillId="0" borderId="15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top"/>
    </xf>
    <xf numFmtId="0" fontId="6" fillId="0" borderId="5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18" xfId="0" applyFont="1" applyBorder="1" applyAlignment="1" applyProtection="1">
      <alignment horizontal="left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7" xfId="0" applyFont="1" applyBorder="1" applyAlignment="1" applyProtection="1">
      <alignment horizontal="left"/>
      <protection locked="0"/>
    </xf>
    <xf numFmtId="0" fontId="13" fillId="0" borderId="24" xfId="0" applyFont="1" applyBorder="1" applyAlignment="1" applyProtection="1">
      <alignment horizontal="left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6" fillId="0" borderId="22" xfId="0" applyFont="1" applyBorder="1" applyAlignment="1" applyProtection="1">
      <alignment horizontal="center" vertical="center" wrapText="1"/>
      <protection locked="0"/>
    </xf>
    <xf numFmtId="0" fontId="26" fillId="0" borderId="23" xfId="0" applyFont="1" applyBorder="1" applyAlignment="1" applyProtection="1">
      <alignment horizontal="center" vertical="center" wrapText="1"/>
      <protection locked="0"/>
    </xf>
    <xf numFmtId="0" fontId="21" fillId="0" borderId="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15" xfId="0" applyFont="1" applyBorder="1" applyAlignment="1" applyProtection="1">
      <alignment horizontal="left" vertical="top" wrapText="1"/>
      <protection hidden="1"/>
    </xf>
    <xf numFmtId="0" fontId="3" fillId="0" borderId="16" xfId="0" applyFont="1" applyBorder="1" applyAlignment="1" applyProtection="1">
      <alignment horizontal="left" vertical="top" wrapText="1"/>
      <protection hidden="1"/>
    </xf>
    <xf numFmtId="0" fontId="3" fillId="0" borderId="17" xfId="0" applyFont="1" applyBorder="1" applyAlignment="1" applyProtection="1">
      <alignment horizontal="left" vertical="top" wrapText="1"/>
      <protection hidden="1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6" fillId="0" borderId="16" xfId="0" applyFont="1" applyBorder="1" applyAlignment="1" applyProtection="1">
      <alignment horizontal="left" vertical="center" wrapText="1"/>
      <protection locked="0"/>
    </xf>
    <xf numFmtId="0" fontId="6" fillId="0" borderId="17" xfId="0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164" fontId="6" fillId="0" borderId="15" xfId="0" applyNumberFormat="1" applyFont="1" applyBorder="1" applyAlignment="1" applyProtection="1">
      <alignment horizontal="left" vertical="center" wrapText="1"/>
      <protection locked="0"/>
    </xf>
    <xf numFmtId="164" fontId="6" fillId="0" borderId="17" xfId="0" applyNumberFormat="1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7" xfId="0" applyFont="1" applyBorder="1" applyAlignment="1" applyProtection="1">
      <alignment horizontal="left"/>
      <protection locked="0"/>
    </xf>
    <xf numFmtId="0" fontId="23" fillId="0" borderId="2" xfId="0" applyFont="1" applyBorder="1" applyAlignment="1">
      <alignment horizontal="center" vertical="top" wrapText="1"/>
    </xf>
    <xf numFmtId="0" fontId="23" fillId="0" borderId="3" xfId="0" applyFont="1" applyBorder="1" applyAlignment="1">
      <alignment horizontal="center" vertical="top" wrapText="1"/>
    </xf>
    <xf numFmtId="0" fontId="23" fillId="0" borderId="4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top" wrapText="1"/>
    </xf>
    <xf numFmtId="0" fontId="23" fillId="0" borderId="0" xfId="0" applyFont="1" applyBorder="1" applyAlignment="1">
      <alignment horizontal="center" vertical="top" wrapText="1"/>
    </xf>
    <xf numFmtId="0" fontId="23" fillId="0" borderId="6" xfId="0" applyFont="1" applyBorder="1" applyAlignment="1">
      <alignment horizontal="center" vertical="top" wrapText="1"/>
    </xf>
    <xf numFmtId="0" fontId="23" fillId="0" borderId="7" xfId="0" applyFont="1" applyBorder="1" applyAlignment="1">
      <alignment horizontal="center" vertical="top" wrapText="1"/>
    </xf>
    <xf numFmtId="0" fontId="23" fillId="0" borderId="8" xfId="0" applyFont="1" applyBorder="1" applyAlignment="1">
      <alignment horizontal="center" vertical="top" wrapText="1"/>
    </xf>
    <xf numFmtId="0" fontId="23" fillId="0" borderId="9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232318</xdr:colOff>
      <xdr:row>4</xdr:row>
      <xdr:rowOff>69694</xdr:rowOff>
    </xdr:from>
    <xdr:to>
      <xdr:col>12</xdr:col>
      <xdr:colOff>1119187</xdr:colOff>
      <xdr:row>6</xdr:row>
      <xdr:rowOff>23812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0B9C89D0-2FE0-4A4E-A760-B3885C0C7FD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777" b="88753"/>
        <a:stretch/>
      </xdr:blipFill>
      <xdr:spPr>
        <a:xfrm>
          <a:off x="10519318" y="1069819"/>
          <a:ext cx="3768182" cy="763743"/>
        </a:xfrm>
        <a:prstGeom prst="rect">
          <a:avLst/>
        </a:prstGeom>
      </xdr:spPr>
    </xdr:pic>
    <xdr:clientData/>
  </xdr:twoCellAnchor>
  <xdr:twoCellAnchor editAs="oneCell">
    <xdr:from>
      <xdr:col>12</xdr:col>
      <xdr:colOff>1010580</xdr:colOff>
      <xdr:row>4</xdr:row>
      <xdr:rowOff>174238</xdr:rowOff>
    </xdr:from>
    <xdr:to>
      <xdr:col>14</xdr:col>
      <xdr:colOff>572255</xdr:colOff>
      <xdr:row>5</xdr:row>
      <xdr:rowOff>369849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EA1237-DE21-46A8-8D2F-E0CB015AEB5F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02"/>
        <a:stretch/>
      </xdr:blipFill>
      <xdr:spPr bwMode="auto">
        <a:xfrm>
          <a:off x="11453232" y="557561"/>
          <a:ext cx="2924175" cy="5905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24</xdr:col>
      <xdr:colOff>0</xdr:colOff>
      <xdr:row>9</xdr:row>
      <xdr:rowOff>154782</xdr:rowOff>
    </xdr:from>
    <xdr:to>
      <xdr:col>31</xdr:col>
      <xdr:colOff>261937</xdr:colOff>
      <xdr:row>12</xdr:row>
      <xdr:rowOff>250032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0C6C5B-894B-4F21-9837-E8F299071D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3640" b="8034"/>
        <a:stretch/>
      </xdr:blipFill>
      <xdr:spPr>
        <a:xfrm>
          <a:off x="25157906" y="2976563"/>
          <a:ext cx="4512468" cy="1524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6</xdr:col>
      <xdr:colOff>326482</xdr:colOff>
      <xdr:row>23</xdr:row>
      <xdr:rowOff>429104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E3AF6EA-3D75-4695-BEC2-38E8473EE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8063" y="6810375"/>
          <a:ext cx="1790950" cy="3429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  <wetp:taskpane dockstate="right" visibility="0" width="350" row="6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E513A466-7755-4DE6-BF0A-31879BA016C2}">
  <we:reference id="wa200005271" version="2.5.5.0" store="es-E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AEEF2A4-7DCD-4527-B39F-DA546BBD9135}">
  <we:reference id="wa200001584" version="3.0.4.6" store="es-ES" storeType="OMEX"/>
  <we:alternateReferences>
    <we:reference id="WA200001584" version="3.0.4.6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CD1AED7-D89D-45DA-A013-E805192BF504}">
  <we:reference id="wa200003987" version="1.0.0.5" store="es-E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7FAF3258-3841-42B3-8654-13430ADFE393}">
  <we:reference id="wa200007427" version="1.0.0.4" store="es-ES" storeType="OMEX"/>
  <we:alternateReferences>
    <we:reference id="WA200007427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ctp.desabalito@mep.go.cr" TargetMode="External"/><Relationship Id="rId1" Type="http://schemas.openxmlformats.org/officeDocument/2006/relationships/hyperlink" Target="https://youtu.be/ZbWi5ABxVTc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2F5E-F336-4A0A-8D70-37683F0A3D1B}">
  <dimension ref="A1:F62"/>
  <sheetViews>
    <sheetView workbookViewId="0">
      <selection activeCell="E28" sqref="E28:F28"/>
    </sheetView>
  </sheetViews>
  <sheetFormatPr baseColWidth="10" defaultRowHeight="15" x14ac:dyDescent="0.25"/>
  <cols>
    <col min="1" max="1" width="7" customWidth="1"/>
    <col min="2" max="2" width="50.140625" customWidth="1"/>
    <col min="3" max="3" width="17.140625" customWidth="1"/>
    <col min="4" max="4" width="23.42578125" customWidth="1"/>
    <col min="5" max="5" width="93.140625" customWidth="1"/>
    <col min="6" max="6" width="51.85546875" customWidth="1"/>
  </cols>
  <sheetData>
    <row r="1" spans="1:6" x14ac:dyDescent="0.25">
      <c r="B1" s="30" t="s">
        <v>207</v>
      </c>
      <c r="C1" s="31" t="s">
        <v>208</v>
      </c>
      <c r="D1" s="32" t="s">
        <v>209</v>
      </c>
      <c r="E1" s="91" t="s">
        <v>210</v>
      </c>
      <c r="F1" s="92"/>
    </row>
    <row r="2" spans="1:6" x14ac:dyDescent="0.25">
      <c r="B2" s="55"/>
      <c r="C2" s="56"/>
      <c r="D2" s="57"/>
      <c r="E2" s="89" t="s">
        <v>260</v>
      </c>
      <c r="F2" s="90"/>
    </row>
    <row r="3" spans="1:6" x14ac:dyDescent="0.25">
      <c r="A3" s="54">
        <v>5</v>
      </c>
      <c r="B3" s="58" t="s">
        <v>236</v>
      </c>
      <c r="C3" s="59" t="s">
        <v>212</v>
      </c>
      <c r="D3" s="60"/>
      <c r="E3" s="89" t="s">
        <v>261</v>
      </c>
      <c r="F3" s="90"/>
    </row>
    <row r="4" spans="1:6" x14ac:dyDescent="0.25">
      <c r="A4" s="54">
        <v>6</v>
      </c>
      <c r="B4" s="61" t="s">
        <v>237</v>
      </c>
      <c r="C4" s="59" t="s">
        <v>212</v>
      </c>
      <c r="D4" s="62"/>
      <c r="E4" s="89" t="s">
        <v>262</v>
      </c>
      <c r="F4" s="90"/>
    </row>
    <row r="5" spans="1:6" x14ac:dyDescent="0.25">
      <c r="A5" s="54">
        <v>9</v>
      </c>
      <c r="B5" s="61" t="s">
        <v>238</v>
      </c>
      <c r="C5" s="59" t="s">
        <v>211</v>
      </c>
      <c r="D5" s="62"/>
      <c r="E5" s="89" t="s">
        <v>263</v>
      </c>
      <c r="F5" s="90"/>
    </row>
    <row r="6" spans="1:6" x14ac:dyDescent="0.25">
      <c r="A6" s="54">
        <v>13</v>
      </c>
      <c r="B6" s="61" t="s">
        <v>239</v>
      </c>
      <c r="C6" s="59" t="s">
        <v>211</v>
      </c>
      <c r="D6" s="62"/>
      <c r="E6" s="89" t="s">
        <v>264</v>
      </c>
      <c r="F6" s="90"/>
    </row>
    <row r="7" spans="1:6" x14ac:dyDescent="0.25">
      <c r="A7" s="54">
        <v>14</v>
      </c>
      <c r="B7" s="61" t="s">
        <v>240</v>
      </c>
      <c r="C7" s="59" t="s">
        <v>211</v>
      </c>
      <c r="D7" s="63"/>
      <c r="E7" s="89" t="s">
        <v>265</v>
      </c>
      <c r="F7" s="90"/>
    </row>
    <row r="8" spans="1:6" x14ac:dyDescent="0.25">
      <c r="A8" s="54">
        <v>16</v>
      </c>
      <c r="B8" s="64" t="s">
        <v>241</v>
      </c>
      <c r="C8" s="59" t="s">
        <v>211</v>
      </c>
      <c r="D8" s="65"/>
      <c r="E8" s="89" t="s">
        <v>266</v>
      </c>
      <c r="F8" s="90"/>
    </row>
    <row r="9" spans="1:6" x14ac:dyDescent="0.25">
      <c r="A9" s="54">
        <v>19</v>
      </c>
      <c r="B9" s="66" t="s">
        <v>242</v>
      </c>
      <c r="C9" s="59" t="s">
        <v>213</v>
      </c>
      <c r="D9" s="63"/>
      <c r="E9" s="89" t="s">
        <v>267</v>
      </c>
      <c r="F9" s="90"/>
    </row>
    <row r="10" spans="1:6" x14ac:dyDescent="0.25">
      <c r="A10" s="54">
        <v>23</v>
      </c>
      <c r="B10" s="67" t="s">
        <v>243</v>
      </c>
      <c r="C10" s="59" t="s">
        <v>213</v>
      </c>
      <c r="D10" s="63"/>
      <c r="E10" s="89" t="s">
        <v>268</v>
      </c>
      <c r="F10" s="90"/>
    </row>
    <row r="11" spans="1:6" x14ac:dyDescent="0.25">
      <c r="A11" s="54">
        <v>26</v>
      </c>
      <c r="B11" s="67" t="s">
        <v>244</v>
      </c>
      <c r="C11" s="59" t="s">
        <v>213</v>
      </c>
      <c r="D11" s="63"/>
      <c r="E11" s="89" t="s">
        <v>269</v>
      </c>
      <c r="F11" s="90"/>
    </row>
    <row r="12" spans="1:6" x14ac:dyDescent="0.25">
      <c r="A12" s="54">
        <v>30</v>
      </c>
      <c r="B12" s="64" t="s">
        <v>245</v>
      </c>
      <c r="C12" s="59" t="s">
        <v>213</v>
      </c>
      <c r="D12" s="63"/>
      <c r="E12" s="89" t="s">
        <v>270</v>
      </c>
      <c r="F12" s="90"/>
    </row>
    <row r="13" spans="1:6" x14ac:dyDescent="0.25">
      <c r="A13" s="54">
        <v>32</v>
      </c>
      <c r="B13" s="61" t="s">
        <v>246</v>
      </c>
      <c r="C13" s="59" t="s">
        <v>247</v>
      </c>
      <c r="D13" s="68"/>
      <c r="E13" s="89" t="s">
        <v>271</v>
      </c>
      <c r="F13" s="90"/>
    </row>
    <row r="14" spans="1:6" x14ac:dyDescent="0.25">
      <c r="A14" s="54">
        <v>33</v>
      </c>
      <c r="B14" s="64" t="s">
        <v>248</v>
      </c>
      <c r="C14" s="59" t="s">
        <v>247</v>
      </c>
      <c r="D14" s="63"/>
      <c r="E14" s="89" t="s">
        <v>272</v>
      </c>
      <c r="F14" s="90"/>
    </row>
    <row r="15" spans="1:6" x14ac:dyDescent="0.25">
      <c r="A15" s="54">
        <v>37</v>
      </c>
      <c r="B15" s="66" t="s">
        <v>249</v>
      </c>
      <c r="C15" s="59" t="s">
        <v>247</v>
      </c>
      <c r="D15" s="63"/>
      <c r="E15" s="89" t="s">
        <v>266</v>
      </c>
      <c r="F15" s="90"/>
    </row>
    <row r="16" spans="1:6" x14ac:dyDescent="0.25">
      <c r="A16" s="54">
        <v>38</v>
      </c>
      <c r="B16" s="67" t="s">
        <v>250</v>
      </c>
      <c r="C16" s="59" t="s">
        <v>247</v>
      </c>
      <c r="D16" s="69"/>
      <c r="E16" s="89" t="s">
        <v>273</v>
      </c>
      <c r="F16" s="90"/>
    </row>
    <row r="17" spans="1:6" x14ac:dyDescent="0.25">
      <c r="A17" s="54">
        <v>42</v>
      </c>
      <c r="B17" s="67" t="s">
        <v>251</v>
      </c>
      <c r="C17" s="59" t="s">
        <v>252</v>
      </c>
      <c r="D17" s="69"/>
      <c r="E17" s="89" t="s">
        <v>274</v>
      </c>
      <c r="F17" s="90"/>
    </row>
    <row r="18" spans="1:6" x14ac:dyDescent="0.25">
      <c r="A18" s="54">
        <v>50</v>
      </c>
      <c r="B18" s="67" t="s">
        <v>253</v>
      </c>
      <c r="C18" s="59" t="s">
        <v>214</v>
      </c>
      <c r="D18" s="69"/>
      <c r="E18" s="89" t="s">
        <v>266</v>
      </c>
      <c r="F18" s="90"/>
    </row>
    <row r="19" spans="1:6" x14ac:dyDescent="0.25">
      <c r="A19" s="54">
        <v>52</v>
      </c>
      <c r="B19" s="67" t="s">
        <v>254</v>
      </c>
      <c r="C19" s="59" t="s">
        <v>214</v>
      </c>
      <c r="D19" s="69"/>
      <c r="E19" s="89" t="s">
        <v>275</v>
      </c>
      <c r="F19" s="90"/>
    </row>
    <row r="20" spans="1:6" x14ac:dyDescent="0.25">
      <c r="A20" s="54">
        <v>55</v>
      </c>
      <c r="B20" s="67" t="s">
        <v>255</v>
      </c>
      <c r="C20" s="59" t="s">
        <v>256</v>
      </c>
      <c r="D20" s="69"/>
      <c r="E20" s="89" t="s">
        <v>276</v>
      </c>
      <c r="F20" s="90"/>
    </row>
    <row r="21" spans="1:6" x14ac:dyDescent="0.25">
      <c r="A21" s="54">
        <v>56</v>
      </c>
      <c r="B21" s="67" t="s">
        <v>257</v>
      </c>
      <c r="C21" s="59" t="s">
        <v>258</v>
      </c>
      <c r="D21" s="69"/>
      <c r="E21" s="89" t="s">
        <v>275</v>
      </c>
      <c r="F21" s="90"/>
    </row>
    <row r="22" spans="1:6" x14ac:dyDescent="0.25">
      <c r="A22" s="54">
        <v>62</v>
      </c>
      <c r="B22" s="67" t="s">
        <v>259</v>
      </c>
      <c r="C22" s="59" t="s">
        <v>215</v>
      </c>
      <c r="D22" s="69"/>
      <c r="E22" s="87"/>
      <c r="F22" s="88"/>
    </row>
    <row r="23" spans="1:6" x14ac:dyDescent="0.25">
      <c r="A23" s="54">
        <v>21</v>
      </c>
      <c r="B23" s="67"/>
      <c r="C23" s="59"/>
      <c r="D23" s="69"/>
      <c r="E23" s="87"/>
      <c r="F23" s="88"/>
    </row>
    <row r="24" spans="1:6" x14ac:dyDescent="0.25">
      <c r="A24" s="54">
        <v>22</v>
      </c>
      <c r="B24" s="67"/>
      <c r="C24" s="59"/>
      <c r="D24" s="69"/>
      <c r="E24" s="87"/>
      <c r="F24" s="88"/>
    </row>
    <row r="25" spans="1:6" x14ac:dyDescent="0.25">
      <c r="A25" s="54">
        <v>23</v>
      </c>
      <c r="B25" s="67"/>
      <c r="C25" s="59"/>
      <c r="D25" s="69"/>
      <c r="E25" s="87"/>
      <c r="F25" s="88"/>
    </row>
    <row r="26" spans="1:6" x14ac:dyDescent="0.25">
      <c r="A26" s="54">
        <v>24</v>
      </c>
      <c r="B26" s="67"/>
      <c r="C26" s="59"/>
      <c r="D26" s="69"/>
      <c r="E26" s="87"/>
      <c r="F26" s="88"/>
    </row>
    <row r="27" spans="1:6" x14ac:dyDescent="0.25">
      <c r="A27" s="54">
        <v>25</v>
      </c>
      <c r="B27" s="67"/>
      <c r="C27" s="59"/>
      <c r="D27" s="69"/>
      <c r="E27" s="87"/>
      <c r="F27" s="88"/>
    </row>
    <row r="28" spans="1:6" x14ac:dyDescent="0.25">
      <c r="A28" s="54">
        <v>26</v>
      </c>
      <c r="B28" s="67"/>
      <c r="C28" s="59"/>
      <c r="D28" s="69"/>
      <c r="E28" s="87"/>
      <c r="F28" s="88"/>
    </row>
    <row r="29" spans="1:6" x14ac:dyDescent="0.25">
      <c r="A29" s="54">
        <v>27</v>
      </c>
      <c r="B29" s="67"/>
      <c r="C29" s="59"/>
      <c r="D29" s="69"/>
      <c r="E29" s="87"/>
      <c r="F29" s="88"/>
    </row>
    <row r="30" spans="1:6" x14ac:dyDescent="0.25">
      <c r="A30" s="54">
        <v>28</v>
      </c>
      <c r="B30" s="70"/>
      <c r="C30" s="71"/>
      <c r="D30" s="72"/>
      <c r="E30" s="87"/>
      <c r="F30" s="88"/>
    </row>
    <row r="31" spans="1:6" x14ac:dyDescent="0.25">
      <c r="A31" s="54">
        <v>29</v>
      </c>
      <c r="B31" s="64"/>
      <c r="C31" s="71"/>
      <c r="D31" s="72"/>
      <c r="E31" s="87"/>
      <c r="F31" s="88"/>
    </row>
    <row r="32" spans="1:6" x14ac:dyDescent="0.25">
      <c r="A32" s="54">
        <v>30</v>
      </c>
      <c r="B32" s="70"/>
      <c r="C32" s="71"/>
      <c r="D32" s="72"/>
      <c r="E32" s="87"/>
      <c r="F32" s="88"/>
    </row>
    <row r="33" spans="1:6" x14ac:dyDescent="0.25">
      <c r="A33" s="54">
        <v>31</v>
      </c>
      <c r="B33" s="70"/>
      <c r="C33" s="71"/>
      <c r="D33" s="72"/>
      <c r="E33" s="87"/>
      <c r="F33" s="88"/>
    </row>
    <row r="34" spans="1:6" x14ac:dyDescent="0.25">
      <c r="A34" s="54">
        <v>32</v>
      </c>
      <c r="B34" s="70"/>
      <c r="C34" s="71"/>
      <c r="D34" s="72"/>
      <c r="E34" s="87"/>
      <c r="F34" s="88"/>
    </row>
    <row r="35" spans="1:6" x14ac:dyDescent="0.25">
      <c r="A35" s="54">
        <v>33</v>
      </c>
      <c r="B35" s="70"/>
      <c r="C35" s="71"/>
      <c r="D35" s="72"/>
      <c r="E35" s="87"/>
      <c r="F35" s="88"/>
    </row>
    <row r="36" spans="1:6" x14ac:dyDescent="0.25">
      <c r="A36" s="54">
        <v>34</v>
      </c>
      <c r="B36" s="70"/>
      <c r="C36" s="71"/>
      <c r="D36" s="72"/>
      <c r="E36" s="87"/>
      <c r="F36" s="88"/>
    </row>
    <row r="37" spans="1:6" x14ac:dyDescent="0.25">
      <c r="A37" s="54">
        <v>35</v>
      </c>
      <c r="B37" s="70"/>
      <c r="C37" s="71"/>
      <c r="D37" s="72"/>
      <c r="E37" s="87"/>
      <c r="F37" s="88"/>
    </row>
    <row r="38" spans="1:6" ht="30" customHeight="1" x14ac:dyDescent="0.25">
      <c r="A38" s="54">
        <v>36</v>
      </c>
      <c r="B38" s="70"/>
      <c r="C38" s="71"/>
      <c r="D38" s="72"/>
      <c r="E38" s="87"/>
      <c r="F38" s="88"/>
    </row>
    <row r="39" spans="1:6" ht="30" customHeight="1" x14ac:dyDescent="0.25">
      <c r="A39" s="54">
        <v>37</v>
      </c>
      <c r="B39" s="70"/>
      <c r="C39" s="71"/>
      <c r="D39" s="73"/>
      <c r="E39" s="87"/>
      <c r="F39" s="88"/>
    </row>
    <row r="40" spans="1:6" ht="30" customHeight="1" x14ac:dyDescent="0.25">
      <c r="A40" s="54">
        <v>38</v>
      </c>
      <c r="B40" s="70"/>
      <c r="C40" s="71"/>
      <c r="D40" s="73"/>
      <c r="E40" s="87"/>
      <c r="F40" s="88"/>
    </row>
    <row r="41" spans="1:6" ht="30" customHeight="1" x14ac:dyDescent="0.25">
      <c r="A41" s="54">
        <v>39</v>
      </c>
      <c r="B41" s="70"/>
      <c r="C41" s="71"/>
      <c r="D41" s="73"/>
      <c r="E41" s="87"/>
      <c r="F41" s="88"/>
    </row>
    <row r="42" spans="1:6" ht="30" customHeight="1" x14ac:dyDescent="0.25">
      <c r="A42" s="54">
        <v>40</v>
      </c>
      <c r="B42" s="70"/>
      <c r="C42" s="71"/>
      <c r="D42" s="73"/>
      <c r="E42" s="87"/>
      <c r="F42" s="88"/>
    </row>
    <row r="43" spans="1:6" ht="30" customHeight="1" x14ac:dyDescent="0.25">
      <c r="A43" s="54">
        <v>41</v>
      </c>
      <c r="B43" s="70"/>
      <c r="C43" s="71"/>
      <c r="D43" s="73"/>
      <c r="E43" s="87"/>
      <c r="F43" s="88"/>
    </row>
    <row r="44" spans="1:6" ht="30" customHeight="1" x14ac:dyDescent="0.25">
      <c r="A44" s="54">
        <v>42</v>
      </c>
      <c r="B44" s="70"/>
      <c r="C44" s="71"/>
      <c r="D44" s="73"/>
      <c r="E44" s="87"/>
      <c r="F44" s="88"/>
    </row>
    <row r="45" spans="1:6" ht="30" customHeight="1" x14ac:dyDescent="0.25">
      <c r="A45" s="54">
        <v>43</v>
      </c>
      <c r="B45" s="70"/>
      <c r="C45" s="71"/>
      <c r="D45" s="73"/>
      <c r="E45" s="87"/>
      <c r="F45" s="88"/>
    </row>
    <row r="46" spans="1:6" ht="30" customHeight="1" x14ac:dyDescent="0.25">
      <c r="A46" s="54">
        <v>44</v>
      </c>
      <c r="B46" s="70"/>
      <c r="C46" s="71"/>
      <c r="D46" s="73"/>
      <c r="E46" s="87"/>
      <c r="F46" s="88"/>
    </row>
    <row r="47" spans="1:6" ht="30" customHeight="1" x14ac:dyDescent="0.25">
      <c r="A47" s="54">
        <v>45</v>
      </c>
      <c r="B47" s="70"/>
      <c r="C47" s="71"/>
      <c r="D47" s="73"/>
      <c r="E47" s="87"/>
      <c r="F47" s="88"/>
    </row>
    <row r="48" spans="1:6" ht="30" customHeight="1" x14ac:dyDescent="0.25">
      <c r="A48" s="54">
        <v>46</v>
      </c>
      <c r="B48" s="70"/>
      <c r="C48" s="71"/>
      <c r="D48" s="73"/>
      <c r="E48" s="87"/>
      <c r="F48" s="88"/>
    </row>
    <row r="49" spans="1:6" ht="30" customHeight="1" x14ac:dyDescent="0.25">
      <c r="A49" s="54">
        <v>47</v>
      </c>
      <c r="B49" s="70"/>
      <c r="C49" s="71"/>
      <c r="D49" s="73"/>
      <c r="E49" s="87"/>
      <c r="F49" s="88"/>
    </row>
    <row r="50" spans="1:6" ht="30" customHeight="1" x14ac:dyDescent="0.25">
      <c r="A50" s="54">
        <v>48</v>
      </c>
      <c r="B50" s="70"/>
      <c r="C50" s="71"/>
      <c r="D50" s="73"/>
      <c r="E50" s="87"/>
      <c r="F50" s="88"/>
    </row>
    <row r="51" spans="1:6" ht="30" customHeight="1" x14ac:dyDescent="0.25">
      <c r="A51" s="54">
        <v>49</v>
      </c>
      <c r="B51" s="70"/>
      <c r="C51" s="71"/>
      <c r="D51" s="73"/>
      <c r="E51" s="87"/>
      <c r="F51" s="88"/>
    </row>
    <row r="52" spans="1:6" ht="30" customHeight="1" x14ac:dyDescent="0.25">
      <c r="A52" s="54">
        <v>50</v>
      </c>
      <c r="B52" s="70"/>
      <c r="C52" s="71"/>
      <c r="D52" s="73"/>
      <c r="E52" s="87"/>
      <c r="F52" s="88"/>
    </row>
    <row r="53" spans="1:6" ht="30" customHeight="1" x14ac:dyDescent="0.25">
      <c r="A53" s="54">
        <v>51</v>
      </c>
      <c r="B53" s="70"/>
      <c r="C53" s="71"/>
      <c r="D53" s="73"/>
      <c r="E53" s="87"/>
      <c r="F53" s="88"/>
    </row>
    <row r="54" spans="1:6" ht="30" customHeight="1" x14ac:dyDescent="0.25">
      <c r="A54" s="54">
        <v>52</v>
      </c>
      <c r="B54" s="70"/>
      <c r="C54" s="71"/>
      <c r="D54" s="73"/>
      <c r="E54" s="87"/>
      <c r="F54" s="88"/>
    </row>
    <row r="55" spans="1:6" ht="30" customHeight="1" x14ac:dyDescent="0.25">
      <c r="A55" s="54">
        <v>53</v>
      </c>
      <c r="B55" s="70"/>
      <c r="C55" s="71"/>
      <c r="D55" s="73"/>
      <c r="E55" s="87"/>
      <c r="F55" s="88"/>
    </row>
    <row r="56" spans="1:6" ht="30" customHeight="1" x14ac:dyDescent="0.25">
      <c r="A56" s="54">
        <v>54</v>
      </c>
      <c r="B56" s="70"/>
      <c r="C56" s="71"/>
      <c r="D56" s="73"/>
      <c r="E56" s="87"/>
      <c r="F56" s="88"/>
    </row>
    <row r="57" spans="1:6" ht="30" customHeight="1" x14ac:dyDescent="0.25">
      <c r="A57" s="54">
        <v>55</v>
      </c>
      <c r="B57" s="70"/>
      <c r="C57" s="71"/>
      <c r="D57" s="73"/>
      <c r="E57" s="87"/>
      <c r="F57" s="88"/>
    </row>
    <row r="58" spans="1:6" ht="30" customHeight="1" x14ac:dyDescent="0.25">
      <c r="A58" s="54">
        <v>56</v>
      </c>
      <c r="B58" s="70"/>
      <c r="C58" s="71"/>
      <c r="D58" s="73"/>
      <c r="E58" s="87"/>
      <c r="F58" s="88"/>
    </row>
    <row r="59" spans="1:6" ht="30" customHeight="1" x14ac:dyDescent="0.25">
      <c r="A59" s="54">
        <v>57</v>
      </c>
      <c r="B59" s="70"/>
      <c r="C59" s="71"/>
      <c r="D59" s="73"/>
      <c r="E59" s="87"/>
      <c r="F59" s="88"/>
    </row>
    <row r="60" spans="1:6" ht="30" customHeight="1" x14ac:dyDescent="0.25">
      <c r="A60" s="54">
        <v>58</v>
      </c>
      <c r="B60" s="70"/>
      <c r="C60" s="71"/>
      <c r="D60" s="73"/>
      <c r="E60" s="87"/>
      <c r="F60" s="88"/>
    </row>
    <row r="61" spans="1:6" ht="30" customHeight="1" x14ac:dyDescent="0.25">
      <c r="A61" s="54">
        <v>59</v>
      </c>
      <c r="B61" s="70"/>
      <c r="C61" s="71"/>
      <c r="D61" s="73"/>
      <c r="E61" s="87"/>
      <c r="F61" s="88"/>
    </row>
    <row r="62" spans="1:6" ht="30" customHeight="1" x14ac:dyDescent="0.25">
      <c r="A62" s="54">
        <v>60</v>
      </c>
      <c r="B62" s="70"/>
      <c r="C62" s="71"/>
      <c r="D62" s="73"/>
      <c r="E62" s="87"/>
      <c r="F62" s="88"/>
    </row>
  </sheetData>
  <mergeCells count="62">
    <mergeCell ref="E6:F6"/>
    <mergeCell ref="E2:F2"/>
    <mergeCell ref="E1:F1"/>
    <mergeCell ref="E3:F3"/>
    <mergeCell ref="E4:F4"/>
    <mergeCell ref="E5:F5"/>
    <mergeCell ref="E18:F18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42:F4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54:F5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61:F61"/>
    <mergeCell ref="E62:F62"/>
    <mergeCell ref="E55:F55"/>
    <mergeCell ref="E56:F56"/>
    <mergeCell ref="E57:F57"/>
    <mergeCell ref="E58:F58"/>
    <mergeCell ref="E59:F59"/>
    <mergeCell ref="E60:F60"/>
  </mergeCells>
  <phoneticPr fontId="9" type="noConversion"/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5C77-7F08-4593-B6A8-87F59D50717D}">
  <sheetPr>
    <pageSetUpPr fitToPage="1"/>
  </sheetPr>
  <dimension ref="A1:X198"/>
  <sheetViews>
    <sheetView showGridLines="0" tabSelected="1" topLeftCell="C1" zoomScale="80" zoomScaleNormal="80" zoomScaleSheetLayoutView="80" zoomScalePageLayoutView="60" workbookViewId="0">
      <selection activeCell="Q10" sqref="Q10:R10"/>
    </sheetView>
  </sheetViews>
  <sheetFormatPr baseColWidth="10" defaultColWidth="9.140625" defaultRowHeight="15" x14ac:dyDescent="0.25"/>
  <cols>
    <col min="2" max="2" width="92.140625" customWidth="1"/>
    <col min="4" max="9" width="7.28515625" customWidth="1"/>
    <col min="10" max="10" width="7.140625" customWidth="1"/>
    <col min="11" max="11" width="12.85546875" customWidth="1"/>
    <col min="12" max="12" width="23.28515625" customWidth="1"/>
    <col min="13" max="13" width="40.7109375" customWidth="1"/>
    <col min="14" max="14" width="9.7109375" customWidth="1"/>
    <col min="15" max="15" width="15.42578125" customWidth="1"/>
    <col min="16" max="16" width="14.140625" customWidth="1"/>
    <col min="17" max="17" width="38" customWidth="1"/>
    <col min="18" max="18" width="13.5703125" customWidth="1"/>
    <col min="19" max="19" width="5.5703125" customWidth="1"/>
    <col min="21" max="27" width="9.140625" customWidth="1"/>
  </cols>
  <sheetData>
    <row r="1" spans="1:24" ht="31.5" customHeight="1" x14ac:dyDescent="0.25">
      <c r="L1" s="175" t="s">
        <v>222</v>
      </c>
      <c r="M1" s="175"/>
      <c r="N1" s="175"/>
      <c r="O1" s="175"/>
      <c r="P1" s="175"/>
      <c r="Q1" s="175"/>
    </row>
    <row r="2" spans="1:24" ht="15.75" thickBot="1" x14ac:dyDescent="0.3">
      <c r="L2" s="175"/>
      <c r="M2" s="175"/>
      <c r="N2" s="175"/>
      <c r="O2" s="175"/>
      <c r="P2" s="175"/>
      <c r="Q2" s="175"/>
    </row>
    <row r="3" spans="1:24" x14ac:dyDescent="0.25">
      <c r="B3" s="132" t="s">
        <v>221</v>
      </c>
      <c r="L3" s="175"/>
      <c r="M3" s="175"/>
      <c r="N3" s="175"/>
      <c r="O3" s="175"/>
      <c r="P3" s="175"/>
      <c r="Q3" s="175"/>
    </row>
    <row r="4" spans="1:24" ht="15.75" thickBot="1" x14ac:dyDescent="0.3">
      <c r="B4" s="133"/>
      <c r="S4" s="1"/>
      <c r="W4" s="33" t="str">
        <f>IFERROR(INDEX('LISTA DE ESTUDIANTES SIGNI'!$C$2:$C$62, MATCH($M$10,'LISTA DE ESTUDIANTES SIGNI'!$B$2:$B$62, 0)), " ")</f>
        <v>7-1</v>
      </c>
    </row>
    <row r="5" spans="1:24" ht="32.1" customHeight="1" thickBot="1" x14ac:dyDescent="0.3">
      <c r="A5" s="21"/>
      <c r="B5" s="40" t="s">
        <v>106</v>
      </c>
      <c r="C5" s="111" t="s">
        <v>219</v>
      </c>
      <c r="D5" s="112"/>
      <c r="E5" s="112"/>
      <c r="F5" s="113"/>
      <c r="G5" s="36"/>
      <c r="H5" s="36"/>
      <c r="J5" s="3"/>
      <c r="K5" s="4"/>
      <c r="L5" s="4"/>
      <c r="M5" s="4"/>
      <c r="N5" s="4"/>
      <c r="O5" s="4"/>
      <c r="P5" s="4"/>
      <c r="Q5" s="4"/>
      <c r="R5" s="4"/>
      <c r="S5" s="5"/>
    </row>
    <row r="6" spans="1:24" ht="32.1" customHeight="1" thickBot="1" x14ac:dyDescent="0.3">
      <c r="A6" s="12" t="s">
        <v>11</v>
      </c>
      <c r="B6" s="37" t="s">
        <v>10</v>
      </c>
      <c r="C6" s="114"/>
      <c r="D6" s="115"/>
      <c r="E6" s="115"/>
      <c r="F6" s="116"/>
      <c r="G6" s="36"/>
      <c r="H6" s="36"/>
      <c r="J6" s="6"/>
      <c r="K6" s="7"/>
      <c r="L6" s="7"/>
      <c r="M6" s="7"/>
      <c r="N6" s="7"/>
      <c r="O6" s="7"/>
      <c r="P6" s="7"/>
      <c r="Q6" s="7"/>
      <c r="R6" s="7"/>
      <c r="S6" s="8"/>
      <c r="U6" s="111" t="s">
        <v>216</v>
      </c>
      <c r="V6" s="112"/>
      <c r="W6" s="112"/>
      <c r="X6" s="113"/>
    </row>
    <row r="7" spans="1:24" ht="32.1" customHeight="1" thickBot="1" x14ac:dyDescent="0.35">
      <c r="A7" s="13" t="s">
        <v>12</v>
      </c>
      <c r="B7" s="38" t="s">
        <v>13</v>
      </c>
      <c r="C7" s="114"/>
      <c r="D7" s="115"/>
      <c r="E7" s="115"/>
      <c r="F7" s="116"/>
      <c r="G7" s="36"/>
      <c r="H7" s="36"/>
      <c r="J7" s="16"/>
      <c r="K7" s="17"/>
      <c r="L7" s="203" t="s">
        <v>229</v>
      </c>
      <c r="M7" s="203"/>
      <c r="N7" s="203"/>
      <c r="O7" s="203"/>
      <c r="P7" s="203"/>
      <c r="Q7" s="49"/>
      <c r="R7" s="7"/>
      <c r="S7" s="8"/>
      <c r="U7" s="114"/>
      <c r="V7" s="115"/>
      <c r="W7" s="115"/>
      <c r="X7" s="116"/>
    </row>
    <row r="8" spans="1:24" ht="32.1" customHeight="1" thickBot="1" x14ac:dyDescent="0.35">
      <c r="A8" s="13" t="s">
        <v>14</v>
      </c>
      <c r="B8" s="38" t="s">
        <v>15</v>
      </c>
      <c r="C8" s="117"/>
      <c r="D8" s="118"/>
      <c r="E8" s="118"/>
      <c r="F8" s="119"/>
      <c r="G8" s="36"/>
      <c r="H8" s="36"/>
      <c r="J8" s="16"/>
      <c r="K8" s="17"/>
      <c r="L8" s="204"/>
      <c r="M8" s="204"/>
      <c r="N8" s="204"/>
      <c r="O8" s="204"/>
      <c r="P8" s="204"/>
      <c r="Q8" s="86" t="s">
        <v>8</v>
      </c>
      <c r="R8" s="17"/>
      <c r="S8" s="8"/>
      <c r="U8" s="114"/>
      <c r="V8" s="115"/>
      <c r="W8" s="115"/>
      <c r="X8" s="116"/>
    </row>
    <row r="9" spans="1:24" ht="32.1" customHeight="1" thickBot="1" x14ac:dyDescent="0.35">
      <c r="A9" s="13" t="s">
        <v>16</v>
      </c>
      <c r="B9" s="14" t="s">
        <v>17</v>
      </c>
      <c r="C9" s="134" t="s">
        <v>231</v>
      </c>
      <c r="D9" s="135"/>
      <c r="E9" s="135"/>
      <c r="F9" s="136"/>
      <c r="G9" s="36"/>
      <c r="H9" s="36"/>
      <c r="J9" s="16"/>
      <c r="K9" s="185" t="s">
        <v>277</v>
      </c>
      <c r="L9" s="186"/>
      <c r="M9" s="186"/>
      <c r="N9" s="186"/>
      <c r="O9" s="186"/>
      <c r="P9" s="187"/>
      <c r="Q9" s="182" t="s">
        <v>0</v>
      </c>
      <c r="R9" s="184"/>
      <c r="S9" s="8"/>
      <c r="U9" s="117"/>
      <c r="V9" s="118"/>
      <c r="W9" s="118"/>
      <c r="X9" s="119"/>
    </row>
    <row r="10" spans="1:24" ht="32.1" customHeight="1" thickBot="1" x14ac:dyDescent="0.35">
      <c r="A10" s="13" t="s">
        <v>18</v>
      </c>
      <c r="B10" s="15" t="s">
        <v>19</v>
      </c>
      <c r="C10" s="137"/>
      <c r="D10" s="138"/>
      <c r="E10" s="138"/>
      <c r="F10" s="139"/>
      <c r="G10" s="36"/>
      <c r="H10" s="36"/>
      <c r="J10" s="16"/>
      <c r="K10" s="120" t="s">
        <v>1</v>
      </c>
      <c r="L10" s="121"/>
      <c r="M10" s="182" t="s">
        <v>237</v>
      </c>
      <c r="N10" s="183"/>
      <c r="O10" s="183"/>
      <c r="P10" s="184"/>
      <c r="Q10" s="188" t="str">
        <f>+ "Sección: " &amp;$W$4</f>
        <v>Sección: 7-1</v>
      </c>
      <c r="R10" s="189"/>
      <c r="S10" s="8"/>
      <c r="U10" s="111" t="s">
        <v>217</v>
      </c>
      <c r="V10" s="112"/>
      <c r="W10" s="112"/>
      <c r="X10" s="113"/>
    </row>
    <row r="11" spans="1:24" ht="48.75" customHeight="1" thickBot="1" x14ac:dyDescent="0.35">
      <c r="A11" s="13" t="s">
        <v>20</v>
      </c>
      <c r="B11" s="15" t="s">
        <v>21</v>
      </c>
      <c r="C11" s="137"/>
      <c r="D11" s="138"/>
      <c r="E11" s="138"/>
      <c r="F11" s="139"/>
      <c r="G11" s="36"/>
      <c r="H11" s="36"/>
      <c r="J11" s="16"/>
      <c r="K11" s="120" t="s">
        <v>2</v>
      </c>
      <c r="L11" s="121"/>
      <c r="M11" s="179" t="str">
        <f>IFERROR(INDEX('LISTA DE ESTUDIANTES SIGNI'!$E$2:$E$62,MATCH($M$10,'LISTA DE ESTUDIANTES SIGNI'!$B$2:$B$62, 0)), " ")</f>
        <v>Proviene de Plan Nacional. Falta Revisar expediente, porque no ha llegado a la institución.</v>
      </c>
      <c r="N11" s="180"/>
      <c r="O11" s="180"/>
      <c r="P11" s="181"/>
      <c r="Q11" s="190">
        <f ca="1">+TODAY()</f>
        <v>45811</v>
      </c>
      <c r="R11" s="191"/>
      <c r="S11" s="8"/>
      <c r="U11" s="114"/>
      <c r="V11" s="115"/>
      <c r="W11" s="115"/>
      <c r="X11" s="116"/>
    </row>
    <row r="12" spans="1:24" ht="31.5" customHeight="1" thickBot="1" x14ac:dyDescent="0.35">
      <c r="A12" s="13" t="s">
        <v>22</v>
      </c>
      <c r="B12" s="15" t="s">
        <v>23</v>
      </c>
      <c r="C12" s="140"/>
      <c r="D12" s="141"/>
      <c r="E12" s="141"/>
      <c r="F12" s="142"/>
      <c r="G12" s="36"/>
      <c r="H12" s="36"/>
      <c r="J12" s="16"/>
      <c r="K12" s="144" t="s">
        <v>3</v>
      </c>
      <c r="L12" s="145"/>
      <c r="M12" s="18" t="s">
        <v>278</v>
      </c>
      <c r="N12" s="176" t="s">
        <v>4</v>
      </c>
      <c r="O12" s="177"/>
      <c r="P12" s="178"/>
      <c r="Q12" s="192" t="s">
        <v>220</v>
      </c>
      <c r="R12" s="193"/>
      <c r="S12" s="8"/>
      <c r="U12" s="114"/>
      <c r="V12" s="115"/>
      <c r="W12" s="115"/>
      <c r="X12" s="116"/>
    </row>
    <row r="13" spans="1:24" ht="32.1" customHeight="1" thickBot="1" x14ac:dyDescent="0.35">
      <c r="A13" s="13" t="s">
        <v>24</v>
      </c>
      <c r="B13" s="15" t="s">
        <v>25</v>
      </c>
      <c r="J13" s="16"/>
      <c r="K13" s="34"/>
      <c r="L13" s="143" t="s">
        <v>6</v>
      </c>
      <c r="M13" s="143"/>
      <c r="N13" s="143" t="s">
        <v>5</v>
      </c>
      <c r="O13" s="143"/>
      <c r="P13" s="143"/>
      <c r="Q13" s="143"/>
      <c r="R13" s="42"/>
      <c r="S13" s="8"/>
      <c r="U13" s="117"/>
      <c r="V13" s="118"/>
      <c r="W13" s="118"/>
      <c r="X13" s="119"/>
    </row>
    <row r="14" spans="1:24" ht="32.1" customHeight="1" thickBot="1" x14ac:dyDescent="0.35">
      <c r="A14" s="13" t="s">
        <v>26</v>
      </c>
      <c r="B14" s="15" t="s">
        <v>27</v>
      </c>
      <c r="J14" s="16"/>
      <c r="K14" s="161" t="s">
        <v>226</v>
      </c>
      <c r="L14" s="162"/>
      <c r="M14" s="163"/>
      <c r="N14" s="105" t="s">
        <v>223</v>
      </c>
      <c r="O14" s="167" t="s">
        <v>224</v>
      </c>
      <c r="P14" s="167" t="s">
        <v>225</v>
      </c>
      <c r="Q14" s="169" t="s">
        <v>227</v>
      </c>
      <c r="R14" s="170"/>
      <c r="S14" s="48"/>
      <c r="U14" s="111" t="s">
        <v>218</v>
      </c>
      <c r="V14" s="112"/>
      <c r="W14" s="112"/>
      <c r="X14" s="113"/>
    </row>
    <row r="15" spans="1:24" ht="42.75" customHeight="1" thickBot="1" x14ac:dyDescent="0.35">
      <c r="A15" s="13" t="s">
        <v>28</v>
      </c>
      <c r="B15" s="15" t="s">
        <v>29</v>
      </c>
      <c r="D15" s="194" t="s">
        <v>232</v>
      </c>
      <c r="E15" s="195"/>
      <c r="F15" s="195"/>
      <c r="G15" s="196"/>
      <c r="J15" s="16"/>
      <c r="K15" s="164"/>
      <c r="L15" s="165"/>
      <c r="M15" s="166"/>
      <c r="N15" s="107"/>
      <c r="O15" s="168"/>
      <c r="P15" s="168"/>
      <c r="Q15" s="171"/>
      <c r="R15" s="172"/>
      <c r="S15" s="8"/>
      <c r="U15" s="114"/>
      <c r="V15" s="115"/>
      <c r="W15" s="115"/>
      <c r="X15" s="116"/>
    </row>
    <row r="16" spans="1:24" ht="39.950000000000003" customHeight="1" thickBot="1" x14ac:dyDescent="0.35">
      <c r="A16" s="13" t="s">
        <v>30</v>
      </c>
      <c r="B16" s="15" t="s">
        <v>31</v>
      </c>
      <c r="D16" s="197"/>
      <c r="E16" s="198"/>
      <c r="F16" s="198"/>
      <c r="G16" s="199"/>
      <c r="J16" s="16"/>
      <c r="K16" s="124" t="s">
        <v>234</v>
      </c>
      <c r="L16" s="125"/>
      <c r="M16" s="126"/>
      <c r="N16" s="130"/>
      <c r="O16" s="173" t="s">
        <v>228</v>
      </c>
      <c r="P16" s="173"/>
      <c r="Q16" s="124" t="s">
        <v>233</v>
      </c>
      <c r="R16" s="126"/>
      <c r="S16" s="8"/>
      <c r="U16" s="114"/>
      <c r="V16" s="115"/>
      <c r="W16" s="115"/>
      <c r="X16" s="116"/>
    </row>
    <row r="17" spans="1:24" ht="39.950000000000003" customHeight="1" thickBot="1" x14ac:dyDescent="0.35">
      <c r="A17" s="13" t="s">
        <v>32</v>
      </c>
      <c r="B17" s="15" t="s">
        <v>33</v>
      </c>
      <c r="D17" s="200"/>
      <c r="E17" s="201"/>
      <c r="F17" s="201"/>
      <c r="G17" s="202"/>
      <c r="J17" s="16"/>
      <c r="K17" s="127"/>
      <c r="L17" s="128"/>
      <c r="M17" s="129"/>
      <c r="N17" s="131"/>
      <c r="O17" s="174"/>
      <c r="P17" s="174"/>
      <c r="Q17" s="127"/>
      <c r="R17" s="129"/>
      <c r="S17" s="8"/>
      <c r="U17" s="117"/>
      <c r="V17" s="118"/>
      <c r="W17" s="118"/>
      <c r="X17" s="119"/>
    </row>
    <row r="18" spans="1:24" ht="39.950000000000003" customHeight="1" thickBot="1" x14ac:dyDescent="0.35">
      <c r="A18" s="13" t="s">
        <v>34</v>
      </c>
      <c r="B18" s="39" t="s">
        <v>35</v>
      </c>
      <c r="J18" s="16"/>
      <c r="K18" s="124"/>
      <c r="L18" s="125"/>
      <c r="M18" s="126"/>
      <c r="N18" s="130"/>
      <c r="O18" s="173"/>
      <c r="P18" s="173"/>
      <c r="Q18" s="124"/>
      <c r="R18" s="126"/>
      <c r="S18" s="8"/>
    </row>
    <row r="19" spans="1:24" ht="39.950000000000003" customHeight="1" thickBot="1" x14ac:dyDescent="0.35">
      <c r="B19" s="23" t="s">
        <v>107</v>
      </c>
      <c r="J19" s="16"/>
      <c r="K19" s="127"/>
      <c r="L19" s="128"/>
      <c r="M19" s="129"/>
      <c r="N19" s="131"/>
      <c r="O19" s="174"/>
      <c r="P19" s="174"/>
      <c r="Q19" s="127"/>
      <c r="R19" s="129"/>
      <c r="S19" s="8"/>
    </row>
    <row r="20" spans="1:24" ht="39.950000000000003" customHeight="1" thickBot="1" x14ac:dyDescent="0.35">
      <c r="A20" s="12" t="s">
        <v>51</v>
      </c>
      <c r="B20" s="20" t="s">
        <v>52</v>
      </c>
      <c r="J20" s="16"/>
      <c r="K20" s="124"/>
      <c r="L20" s="125"/>
      <c r="M20" s="126"/>
      <c r="N20" s="130"/>
      <c r="O20" s="173"/>
      <c r="P20" s="173"/>
      <c r="Q20" s="124"/>
      <c r="R20" s="126"/>
      <c r="S20" s="8"/>
    </row>
    <row r="21" spans="1:24" ht="39.950000000000003" customHeight="1" thickBot="1" x14ac:dyDescent="0.35">
      <c r="A21" s="13" t="s">
        <v>53</v>
      </c>
      <c r="B21" s="15" t="s">
        <v>54</v>
      </c>
      <c r="J21" s="16"/>
      <c r="K21" s="127"/>
      <c r="L21" s="128"/>
      <c r="M21" s="129"/>
      <c r="N21" s="131"/>
      <c r="O21" s="174"/>
      <c r="P21" s="174"/>
      <c r="Q21" s="127"/>
      <c r="R21" s="129"/>
      <c r="S21" s="8"/>
    </row>
    <row r="22" spans="1:24" ht="39.950000000000003" customHeight="1" thickBot="1" x14ac:dyDescent="0.35">
      <c r="A22" s="13" t="s">
        <v>55</v>
      </c>
      <c r="B22" s="15" t="s">
        <v>56</v>
      </c>
      <c r="J22" s="16"/>
      <c r="K22" s="124"/>
      <c r="L22" s="125"/>
      <c r="M22" s="126"/>
      <c r="N22" s="130"/>
      <c r="O22" s="173"/>
      <c r="P22" s="173"/>
      <c r="Q22" s="124"/>
      <c r="R22" s="126"/>
      <c r="S22" s="8"/>
    </row>
    <row r="23" spans="1:24" ht="39.950000000000003" customHeight="1" thickBot="1" x14ac:dyDescent="0.35">
      <c r="A23" s="13" t="s">
        <v>57</v>
      </c>
      <c r="B23" s="15" t="s">
        <v>58</v>
      </c>
      <c r="J23" s="16"/>
      <c r="K23" s="127"/>
      <c r="L23" s="128"/>
      <c r="M23" s="129"/>
      <c r="N23" s="131"/>
      <c r="O23" s="174"/>
      <c r="P23" s="174"/>
      <c r="Q23" s="127"/>
      <c r="R23" s="129"/>
      <c r="S23" s="8"/>
    </row>
    <row r="24" spans="1:24" ht="39.950000000000003" customHeight="1" thickBot="1" x14ac:dyDescent="0.35">
      <c r="A24" s="13" t="s">
        <v>59</v>
      </c>
      <c r="B24" s="14" t="s">
        <v>60</v>
      </c>
      <c r="J24" s="16"/>
      <c r="K24" s="124"/>
      <c r="L24" s="125"/>
      <c r="M24" s="126"/>
      <c r="N24" s="130"/>
      <c r="O24" s="173"/>
      <c r="P24" s="173"/>
      <c r="Q24" s="124"/>
      <c r="R24" s="126"/>
      <c r="S24" s="8"/>
    </row>
    <row r="25" spans="1:24" ht="39.950000000000003" customHeight="1" thickBot="1" x14ac:dyDescent="0.35">
      <c r="A25" s="13" t="s">
        <v>61</v>
      </c>
      <c r="B25" s="15" t="s">
        <v>62</v>
      </c>
      <c r="J25" s="16"/>
      <c r="K25" s="127"/>
      <c r="L25" s="128"/>
      <c r="M25" s="129"/>
      <c r="N25" s="131"/>
      <c r="O25" s="174"/>
      <c r="P25" s="174"/>
      <c r="Q25" s="127"/>
      <c r="R25" s="129"/>
      <c r="S25" s="8"/>
    </row>
    <row r="26" spans="1:24" ht="39.950000000000003" customHeight="1" thickBot="1" x14ac:dyDescent="0.35">
      <c r="A26" s="13" t="s">
        <v>63</v>
      </c>
      <c r="B26" s="15" t="s">
        <v>64</v>
      </c>
      <c r="J26" s="16"/>
      <c r="K26" s="124"/>
      <c r="L26" s="125"/>
      <c r="M26" s="126"/>
      <c r="N26" s="130"/>
      <c r="O26" s="173"/>
      <c r="P26" s="173"/>
      <c r="Q26" s="124"/>
      <c r="R26" s="126"/>
      <c r="S26" s="8"/>
    </row>
    <row r="27" spans="1:24" ht="39.950000000000003" customHeight="1" thickBot="1" x14ac:dyDescent="0.35">
      <c r="A27" s="13" t="s">
        <v>65</v>
      </c>
      <c r="B27" s="15" t="s">
        <v>66</v>
      </c>
      <c r="J27" s="16"/>
      <c r="K27" s="127"/>
      <c r="L27" s="128"/>
      <c r="M27" s="129"/>
      <c r="N27" s="131"/>
      <c r="O27" s="174"/>
      <c r="P27" s="174"/>
      <c r="Q27" s="127"/>
      <c r="R27" s="129"/>
      <c r="S27" s="8"/>
    </row>
    <row r="28" spans="1:24" ht="39.950000000000003" customHeight="1" thickBot="1" x14ac:dyDescent="0.35">
      <c r="A28" s="13" t="s">
        <v>67</v>
      </c>
      <c r="B28" s="15" t="s">
        <v>68</v>
      </c>
      <c r="J28" s="16"/>
      <c r="K28" s="124"/>
      <c r="L28" s="125"/>
      <c r="M28" s="126"/>
      <c r="N28" s="130"/>
      <c r="O28" s="173"/>
      <c r="P28" s="173"/>
      <c r="Q28" s="124"/>
      <c r="R28" s="126"/>
      <c r="S28" s="8"/>
    </row>
    <row r="29" spans="1:24" ht="39.950000000000003" customHeight="1" thickBot="1" x14ac:dyDescent="0.35">
      <c r="A29" s="13" t="s">
        <v>69</v>
      </c>
      <c r="B29" s="15" t="s">
        <v>70</v>
      </c>
      <c r="J29" s="16"/>
      <c r="K29" s="127"/>
      <c r="L29" s="128"/>
      <c r="M29" s="129"/>
      <c r="N29" s="131"/>
      <c r="O29" s="174"/>
      <c r="P29" s="174"/>
      <c r="Q29" s="127"/>
      <c r="R29" s="129"/>
      <c r="S29" s="8"/>
    </row>
    <row r="30" spans="1:24" ht="39.950000000000003" customHeight="1" thickBot="1" x14ac:dyDescent="0.35">
      <c r="A30" s="13" t="s">
        <v>71</v>
      </c>
      <c r="B30" s="39" t="s">
        <v>72</v>
      </c>
      <c r="J30" s="16"/>
      <c r="K30" s="124"/>
      <c r="L30" s="125"/>
      <c r="M30" s="126"/>
      <c r="N30" s="130"/>
      <c r="O30" s="173"/>
      <c r="P30" s="173"/>
      <c r="Q30" s="124"/>
      <c r="R30" s="126"/>
      <c r="S30" s="8"/>
    </row>
    <row r="31" spans="1:24" ht="39.950000000000003" customHeight="1" thickBot="1" x14ac:dyDescent="0.35">
      <c r="J31" s="16"/>
      <c r="K31" s="127"/>
      <c r="L31" s="128"/>
      <c r="M31" s="129"/>
      <c r="N31" s="131"/>
      <c r="O31" s="174"/>
      <c r="P31" s="174"/>
      <c r="Q31" s="127"/>
      <c r="R31" s="129"/>
      <c r="S31" s="8"/>
    </row>
    <row r="32" spans="1:24" ht="39.950000000000003" customHeight="1" thickBot="1" x14ac:dyDescent="0.35">
      <c r="A32" s="21"/>
      <c r="B32" s="22" t="s">
        <v>73</v>
      </c>
      <c r="J32" s="16"/>
      <c r="K32" s="124"/>
      <c r="L32" s="125"/>
      <c r="M32" s="126"/>
      <c r="N32" s="130"/>
      <c r="O32" s="173"/>
      <c r="P32" s="173"/>
      <c r="Q32" s="124"/>
      <c r="R32" s="126"/>
      <c r="S32" s="8"/>
    </row>
    <row r="33" spans="1:19" ht="39.950000000000003" customHeight="1" thickBot="1" x14ac:dyDescent="0.35">
      <c r="A33" s="13" t="s">
        <v>71</v>
      </c>
      <c r="B33" s="15" t="s">
        <v>74</v>
      </c>
      <c r="J33" s="16"/>
      <c r="K33" s="127"/>
      <c r="L33" s="128"/>
      <c r="M33" s="129"/>
      <c r="N33" s="131"/>
      <c r="O33" s="174"/>
      <c r="P33" s="174"/>
      <c r="Q33" s="127"/>
      <c r="R33" s="129"/>
      <c r="S33" s="8"/>
    </row>
    <row r="34" spans="1:19" ht="39.950000000000003" customHeight="1" thickBot="1" x14ac:dyDescent="0.35">
      <c r="A34" s="13" t="s">
        <v>75</v>
      </c>
      <c r="B34" s="15" t="s">
        <v>76</v>
      </c>
      <c r="J34" s="16"/>
      <c r="K34" s="124"/>
      <c r="L34" s="125"/>
      <c r="M34" s="126"/>
      <c r="N34" s="130"/>
      <c r="O34" s="173"/>
      <c r="P34" s="173"/>
      <c r="Q34" s="124"/>
      <c r="R34" s="126"/>
      <c r="S34" s="8"/>
    </row>
    <row r="35" spans="1:19" ht="39.950000000000003" customHeight="1" thickBot="1" x14ac:dyDescent="0.35">
      <c r="A35" s="13" t="s">
        <v>77</v>
      </c>
      <c r="B35" s="15" t="s">
        <v>78</v>
      </c>
      <c r="J35" s="16"/>
      <c r="K35" s="127"/>
      <c r="L35" s="128"/>
      <c r="M35" s="129"/>
      <c r="N35" s="131"/>
      <c r="O35" s="174"/>
      <c r="P35" s="174"/>
      <c r="Q35" s="127"/>
      <c r="R35" s="129"/>
      <c r="S35" s="8"/>
    </row>
    <row r="36" spans="1:19" ht="39.950000000000003" customHeight="1" thickBot="1" x14ac:dyDescent="0.35">
      <c r="A36" s="13" t="s">
        <v>79</v>
      </c>
      <c r="B36" s="15" t="s">
        <v>80</v>
      </c>
      <c r="J36" s="16"/>
      <c r="K36" s="28"/>
      <c r="L36" s="28"/>
      <c r="M36" s="28"/>
      <c r="N36" s="28"/>
      <c r="O36" s="28"/>
      <c r="P36" s="28"/>
      <c r="Q36" s="28"/>
      <c r="R36" s="28"/>
      <c r="S36" s="8"/>
    </row>
    <row r="37" spans="1:19" ht="39.950000000000003" customHeight="1" thickBot="1" x14ac:dyDescent="0.35">
      <c r="A37" s="13" t="s">
        <v>81</v>
      </c>
      <c r="B37" s="14" t="s">
        <v>82</v>
      </c>
      <c r="J37" s="16"/>
      <c r="K37" s="28"/>
      <c r="L37" s="28"/>
      <c r="M37" s="28"/>
      <c r="N37" s="28"/>
      <c r="O37" s="28"/>
      <c r="P37" s="28"/>
      <c r="Q37" s="28"/>
      <c r="R37" s="28"/>
      <c r="S37" s="8"/>
    </row>
    <row r="38" spans="1:19" ht="39.950000000000003" customHeight="1" thickBot="1" x14ac:dyDescent="0.35">
      <c r="A38" s="13" t="s">
        <v>83</v>
      </c>
      <c r="B38" s="15" t="s">
        <v>84</v>
      </c>
      <c r="J38" s="35"/>
      <c r="K38" s="74"/>
      <c r="L38" s="75"/>
      <c r="M38" s="75"/>
      <c r="N38" s="75"/>
      <c r="O38" s="75"/>
      <c r="P38" s="75"/>
      <c r="Q38" s="75"/>
      <c r="R38" s="75"/>
      <c r="S38" s="11"/>
    </row>
    <row r="39" spans="1:19" ht="39.950000000000003" customHeight="1" thickBot="1" x14ac:dyDescent="0.3">
      <c r="A39" s="13" t="s">
        <v>85</v>
      </c>
      <c r="B39" s="15" t="s">
        <v>86</v>
      </c>
      <c r="K39" s="76"/>
      <c r="L39" s="76"/>
      <c r="M39" s="76"/>
      <c r="N39" s="76"/>
      <c r="O39" s="76"/>
      <c r="P39" s="76"/>
      <c r="Q39" s="76"/>
      <c r="R39" s="76"/>
    </row>
    <row r="40" spans="1:19" ht="39.950000000000003" customHeight="1" thickBot="1" x14ac:dyDescent="0.35">
      <c r="A40" s="13" t="s">
        <v>87</v>
      </c>
      <c r="B40" s="15" t="s">
        <v>88</v>
      </c>
      <c r="J40" s="19"/>
      <c r="K40" s="77"/>
      <c r="L40" s="78"/>
      <c r="M40" s="78"/>
      <c r="N40" s="78"/>
      <c r="O40" s="78"/>
      <c r="P40" s="78"/>
      <c r="Q40" s="78"/>
      <c r="R40" s="79"/>
      <c r="S40" s="5"/>
    </row>
    <row r="41" spans="1:19" ht="39.950000000000003" customHeight="1" thickBot="1" x14ac:dyDescent="0.35">
      <c r="A41" s="13" t="s">
        <v>89</v>
      </c>
      <c r="B41" s="15" t="s">
        <v>90</v>
      </c>
      <c r="J41" s="16"/>
      <c r="K41" s="80" t="s">
        <v>7</v>
      </c>
      <c r="L41" s="122" t="s">
        <v>235</v>
      </c>
      <c r="M41" s="123"/>
      <c r="N41" s="123" t="s">
        <v>9</v>
      </c>
      <c r="O41" s="123"/>
      <c r="P41" s="123"/>
      <c r="Q41" s="160"/>
      <c r="R41" s="81"/>
      <c r="S41" s="8"/>
    </row>
    <row r="42" spans="1:19" ht="39.950000000000003" customHeight="1" thickBot="1" x14ac:dyDescent="0.35">
      <c r="A42" s="13" t="s">
        <v>91</v>
      </c>
      <c r="B42" s="15" t="s">
        <v>92</v>
      </c>
      <c r="J42" s="16"/>
      <c r="K42" s="93" t="s">
        <v>16</v>
      </c>
      <c r="L42" s="95" t="str">
        <f>IFERROR(INDEX($B$6:$B$18, MATCH(K42, $A$6:$A$18, 0)), " ")</f>
        <v xml:space="preserve">Reforzar cada logro por más pequeño que este sea. </v>
      </c>
      <c r="M42" s="96"/>
      <c r="N42" s="99"/>
      <c r="O42" s="100"/>
      <c r="P42" s="100"/>
      <c r="Q42" s="101"/>
      <c r="R42" s="82"/>
      <c r="S42" s="8"/>
    </row>
    <row r="43" spans="1:19" ht="39.950000000000003" customHeight="1" thickBot="1" x14ac:dyDescent="0.35">
      <c r="A43" s="13" t="s">
        <v>93</v>
      </c>
      <c r="B43" s="15" t="s">
        <v>94</v>
      </c>
      <c r="J43" s="16"/>
      <c r="K43" s="94"/>
      <c r="L43" s="97"/>
      <c r="M43" s="98"/>
      <c r="N43" s="102"/>
      <c r="O43" s="103"/>
      <c r="P43" s="103"/>
      <c r="Q43" s="104"/>
      <c r="R43" s="82"/>
      <c r="S43" s="8"/>
    </row>
    <row r="44" spans="1:19" ht="39.950000000000003" customHeight="1" thickBot="1" x14ac:dyDescent="0.35">
      <c r="A44" s="13" t="s">
        <v>95</v>
      </c>
      <c r="B44" s="15" t="s">
        <v>96</v>
      </c>
      <c r="J44" s="16"/>
      <c r="K44" s="93" t="s">
        <v>20</v>
      </c>
      <c r="L44" s="95" t="str">
        <f>IFERROR(INDEX($B$6:$B$18, MATCH(K44, $A$6:$A$18, 0)), " ")</f>
        <v xml:space="preserve">Utilizar constantemente la estrategia de trabajo cooperativo con la finalidad de que logre beneficiar y beneficiarse de las experiencias de otros compañeros y así reforzar su seguridad en la ejecución de los aprendizajes. </v>
      </c>
      <c r="M44" s="96"/>
      <c r="N44" s="99"/>
      <c r="O44" s="100"/>
      <c r="P44" s="100"/>
      <c r="Q44" s="101"/>
      <c r="R44" s="82"/>
      <c r="S44" s="8"/>
    </row>
    <row r="45" spans="1:19" ht="39.950000000000003" customHeight="1" thickBot="1" x14ac:dyDescent="0.35">
      <c r="A45" s="13" t="s">
        <v>97</v>
      </c>
      <c r="B45" s="15" t="s">
        <v>98</v>
      </c>
      <c r="J45" s="16"/>
      <c r="K45" s="94"/>
      <c r="L45" s="97"/>
      <c r="M45" s="98"/>
      <c r="N45" s="102"/>
      <c r="O45" s="103"/>
      <c r="P45" s="103"/>
      <c r="Q45" s="104"/>
      <c r="R45" s="82"/>
      <c r="S45" s="8"/>
    </row>
    <row r="46" spans="1:19" ht="39.950000000000003" customHeight="1" thickBot="1" x14ac:dyDescent="0.35">
      <c r="A46" s="13" t="s">
        <v>99</v>
      </c>
      <c r="B46" s="15" t="s">
        <v>100</v>
      </c>
      <c r="J46" s="16"/>
      <c r="K46" s="93" t="s">
        <v>18</v>
      </c>
      <c r="L46" s="95" t="str">
        <f>IFERROR(INDEX($B$6:$B$18, MATCH(K46, $A$6:$A$18, 0)), " ")</f>
        <v xml:space="preserve">Reforzar la autoestima mediante actividades que le permitan éxito, particularizando en características cognitivas y sociales. </v>
      </c>
      <c r="M46" s="96"/>
      <c r="N46" s="99"/>
      <c r="O46" s="100"/>
      <c r="P46" s="100"/>
      <c r="Q46" s="101"/>
      <c r="R46" s="82"/>
      <c r="S46" s="8"/>
    </row>
    <row r="47" spans="1:19" ht="39.950000000000003" customHeight="1" thickBot="1" x14ac:dyDescent="0.35">
      <c r="A47" s="13" t="s">
        <v>101</v>
      </c>
      <c r="B47" s="15" t="s">
        <v>102</v>
      </c>
      <c r="J47" s="16"/>
      <c r="K47" s="94"/>
      <c r="L47" s="97"/>
      <c r="M47" s="98"/>
      <c r="N47" s="102"/>
      <c r="O47" s="103"/>
      <c r="P47" s="103"/>
      <c r="Q47" s="104"/>
      <c r="R47" s="82"/>
      <c r="S47" s="8"/>
    </row>
    <row r="48" spans="1:19" ht="39.950000000000003" customHeight="1" thickBot="1" x14ac:dyDescent="0.35">
      <c r="A48" s="13" t="s">
        <v>103</v>
      </c>
      <c r="B48" s="15" t="s">
        <v>104</v>
      </c>
      <c r="J48" s="16"/>
      <c r="K48" s="93" t="s">
        <v>7</v>
      </c>
      <c r="L48" s="105" t="s">
        <v>36</v>
      </c>
      <c r="M48" s="106"/>
      <c r="N48" s="105" t="s">
        <v>9</v>
      </c>
      <c r="O48" s="109"/>
      <c r="P48" s="109"/>
      <c r="Q48" s="106"/>
      <c r="R48" s="81"/>
      <c r="S48" s="8"/>
    </row>
    <row r="49" spans="1:19" ht="39.950000000000003" customHeight="1" thickBot="1" x14ac:dyDescent="0.35">
      <c r="A49" s="13" t="s">
        <v>105</v>
      </c>
      <c r="B49" s="39" t="s">
        <v>72</v>
      </c>
      <c r="J49" s="16"/>
      <c r="K49" s="94"/>
      <c r="L49" s="107"/>
      <c r="M49" s="108"/>
      <c r="N49" s="107"/>
      <c r="O49" s="110"/>
      <c r="P49" s="110"/>
      <c r="Q49" s="108"/>
      <c r="R49" s="81"/>
      <c r="S49" s="8"/>
    </row>
    <row r="50" spans="1:19" ht="39.950000000000003" customHeight="1" x14ac:dyDescent="0.3">
      <c r="J50" s="16"/>
      <c r="K50" s="93" t="s">
        <v>51</v>
      </c>
      <c r="L50" s="95" t="str">
        <f>IFERROR(INDEX($B$20:$B$30, MATCH(K50, $A$20:$A$30, 0)), " ")</f>
        <v>Ubicar al estudiante cerca de compañeros que no se desconcentren.</v>
      </c>
      <c r="M50" s="96"/>
      <c r="N50" s="99"/>
      <c r="O50" s="100"/>
      <c r="P50" s="100"/>
      <c r="Q50" s="101"/>
      <c r="R50" s="82"/>
      <c r="S50" s="8"/>
    </row>
    <row r="51" spans="1:19" ht="39.950000000000003" customHeight="1" thickBot="1" x14ac:dyDescent="0.35">
      <c r="J51" s="16"/>
      <c r="K51" s="94"/>
      <c r="L51" s="97"/>
      <c r="M51" s="98"/>
      <c r="N51" s="102"/>
      <c r="O51" s="103"/>
      <c r="P51" s="103"/>
      <c r="Q51" s="104"/>
      <c r="R51" s="82"/>
      <c r="S51" s="8"/>
    </row>
    <row r="52" spans="1:19" ht="39.950000000000003" customHeight="1" thickBot="1" x14ac:dyDescent="0.3">
      <c r="A52" s="21"/>
      <c r="B52" s="22" t="s">
        <v>109</v>
      </c>
      <c r="J52" s="6"/>
      <c r="K52" s="93" t="s">
        <v>59</v>
      </c>
      <c r="L52" s="95" t="str">
        <f t="shared" ref="L52" si="0">IFERROR(INDEX($B$20:$B$30, MATCH(K52, $A$20:$A$30, 0)), " ")</f>
        <v>Rotular objetos y partes importantes de la clase.</v>
      </c>
      <c r="M52" s="96"/>
      <c r="N52" s="99"/>
      <c r="O52" s="100"/>
      <c r="P52" s="100"/>
      <c r="Q52" s="101"/>
      <c r="R52" s="82"/>
      <c r="S52" s="2"/>
    </row>
    <row r="53" spans="1:19" ht="39.950000000000003" customHeight="1" thickBot="1" x14ac:dyDescent="0.3">
      <c r="A53" s="13" t="s">
        <v>110</v>
      </c>
      <c r="B53" s="15" t="s">
        <v>111</v>
      </c>
      <c r="J53" s="6"/>
      <c r="K53" s="94"/>
      <c r="L53" s="97"/>
      <c r="M53" s="98"/>
      <c r="N53" s="102"/>
      <c r="O53" s="103"/>
      <c r="P53" s="103"/>
      <c r="Q53" s="104"/>
      <c r="R53" s="82"/>
      <c r="S53" s="2"/>
    </row>
    <row r="54" spans="1:19" ht="39.950000000000003" customHeight="1" thickBot="1" x14ac:dyDescent="0.3">
      <c r="A54" s="13" t="s">
        <v>112</v>
      </c>
      <c r="B54" s="15" t="s">
        <v>113</v>
      </c>
      <c r="J54" s="6"/>
      <c r="K54" s="93" t="s">
        <v>69</v>
      </c>
      <c r="L54" s="95" t="str">
        <f t="shared" ref="L54" si="1">IFERROR(INDEX($B$20:$B$30, MATCH(K54, $A$20:$A$30, 0)), " ")</f>
        <v>Anotar en la pizarra el número de página y/o ejercicios a realizar.</v>
      </c>
      <c r="M54" s="96"/>
      <c r="N54" s="99"/>
      <c r="O54" s="100"/>
      <c r="P54" s="100"/>
      <c r="Q54" s="101"/>
      <c r="R54" s="82"/>
      <c r="S54" s="2"/>
    </row>
    <row r="55" spans="1:19" ht="39.950000000000003" customHeight="1" thickBot="1" x14ac:dyDescent="0.3">
      <c r="A55" s="13" t="s">
        <v>114</v>
      </c>
      <c r="B55" s="15" t="s">
        <v>115</v>
      </c>
      <c r="J55" s="6"/>
      <c r="K55" s="94"/>
      <c r="L55" s="97"/>
      <c r="M55" s="98"/>
      <c r="N55" s="102"/>
      <c r="O55" s="103"/>
      <c r="P55" s="103"/>
      <c r="Q55" s="104"/>
      <c r="R55" s="82"/>
      <c r="S55" s="2"/>
    </row>
    <row r="56" spans="1:19" ht="39.950000000000003" customHeight="1" thickBot="1" x14ac:dyDescent="0.3">
      <c r="A56" s="13" t="s">
        <v>116</v>
      </c>
      <c r="B56" s="15" t="s">
        <v>117</v>
      </c>
      <c r="J56" s="6"/>
      <c r="K56" s="93" t="s">
        <v>7</v>
      </c>
      <c r="L56" s="105" t="s">
        <v>108</v>
      </c>
      <c r="M56" s="106"/>
      <c r="N56" s="105" t="s">
        <v>9</v>
      </c>
      <c r="O56" s="109"/>
      <c r="P56" s="109"/>
      <c r="Q56" s="106"/>
      <c r="R56" s="81"/>
      <c r="S56" s="2"/>
    </row>
    <row r="57" spans="1:19" ht="39.950000000000003" customHeight="1" thickBot="1" x14ac:dyDescent="0.3">
      <c r="A57" s="13" t="s">
        <v>118</v>
      </c>
      <c r="B57" s="14" t="s">
        <v>119</v>
      </c>
      <c r="J57" s="6"/>
      <c r="K57" s="94"/>
      <c r="L57" s="107"/>
      <c r="M57" s="108"/>
      <c r="N57" s="107"/>
      <c r="O57" s="110"/>
      <c r="P57" s="110"/>
      <c r="Q57" s="108"/>
      <c r="R57" s="81"/>
      <c r="S57" s="2"/>
    </row>
    <row r="58" spans="1:19" ht="39.950000000000003" customHeight="1" thickBot="1" x14ac:dyDescent="0.3">
      <c r="A58" s="13" t="s">
        <v>120</v>
      </c>
      <c r="B58" s="14" t="s">
        <v>121</v>
      </c>
      <c r="J58" s="6"/>
      <c r="K58" s="93" t="s">
        <v>85</v>
      </c>
      <c r="L58" s="95" t="str">
        <f>IFERROR(INDEX($B$33:$B$49, MATCH(K58, $A$33:$A$49, 0)), " ")</f>
        <v>Usar láminas, mapas, gráficos y vídeos relacionados con los aprendizajes que se desarrollan.</v>
      </c>
      <c r="M58" s="96"/>
      <c r="N58" s="99"/>
      <c r="O58" s="100"/>
      <c r="P58" s="100"/>
      <c r="Q58" s="101"/>
      <c r="R58" s="82"/>
      <c r="S58" s="2"/>
    </row>
    <row r="59" spans="1:19" ht="39.950000000000003" customHeight="1" thickBot="1" x14ac:dyDescent="0.3">
      <c r="A59" s="13" t="s">
        <v>122</v>
      </c>
      <c r="B59" s="15" t="s">
        <v>123</v>
      </c>
      <c r="J59" s="6"/>
      <c r="K59" s="94"/>
      <c r="L59" s="97"/>
      <c r="M59" s="98"/>
      <c r="N59" s="102"/>
      <c r="O59" s="103"/>
      <c r="P59" s="103"/>
      <c r="Q59" s="104"/>
      <c r="R59" s="82"/>
      <c r="S59" s="2"/>
    </row>
    <row r="60" spans="1:19" ht="39.950000000000003" customHeight="1" thickBot="1" x14ac:dyDescent="0.3">
      <c r="A60" s="13" t="s">
        <v>124</v>
      </c>
      <c r="B60" s="15" t="s">
        <v>125</v>
      </c>
      <c r="J60" s="6"/>
      <c r="K60" s="93" t="s">
        <v>99</v>
      </c>
      <c r="L60" s="95" t="str">
        <f>IFERROR(INDEX($B$33:$B$49, MATCH(K60, $A$33:$A$49, 0)), " ")</f>
        <v>Facilitar material de reforzamiento para hacer en casa.</v>
      </c>
      <c r="M60" s="96"/>
      <c r="N60" s="99"/>
      <c r="O60" s="100"/>
      <c r="P60" s="100"/>
      <c r="Q60" s="101"/>
      <c r="R60" s="82"/>
      <c r="S60" s="2"/>
    </row>
    <row r="61" spans="1:19" ht="39.950000000000003" customHeight="1" thickBot="1" x14ac:dyDescent="0.3">
      <c r="A61" s="13" t="s">
        <v>126</v>
      </c>
      <c r="B61" s="15" t="s">
        <v>127</v>
      </c>
      <c r="J61" s="6"/>
      <c r="K61" s="94"/>
      <c r="L61" s="97"/>
      <c r="M61" s="98"/>
      <c r="N61" s="102"/>
      <c r="O61" s="103"/>
      <c r="P61" s="103"/>
      <c r="Q61" s="104"/>
      <c r="R61" s="82"/>
      <c r="S61" s="2"/>
    </row>
    <row r="62" spans="1:19" ht="39.950000000000003" customHeight="1" thickBot="1" x14ac:dyDescent="0.3">
      <c r="A62" s="13" t="s">
        <v>128</v>
      </c>
      <c r="B62" s="15" t="s">
        <v>129</v>
      </c>
      <c r="J62" s="6"/>
      <c r="K62" s="93" t="s">
        <v>71</v>
      </c>
      <c r="L62" s="95" t="str">
        <f>IFERROR(INDEX($B$33:$B$49, MATCH(K62, $A$33:$A$49, 0)), " ")</f>
        <v>Ampliar la letra al tamaño que el estudiante sienta mejor.</v>
      </c>
      <c r="M62" s="96"/>
      <c r="N62" s="99"/>
      <c r="O62" s="100"/>
      <c r="P62" s="100"/>
      <c r="Q62" s="101"/>
      <c r="R62" s="82"/>
      <c r="S62" s="2"/>
    </row>
    <row r="63" spans="1:19" ht="39.950000000000003" customHeight="1" thickBot="1" x14ac:dyDescent="0.3">
      <c r="A63" s="13" t="s">
        <v>130</v>
      </c>
      <c r="B63" s="15" t="s">
        <v>131</v>
      </c>
      <c r="J63" s="6"/>
      <c r="K63" s="94"/>
      <c r="L63" s="97"/>
      <c r="M63" s="98"/>
      <c r="N63" s="102"/>
      <c r="O63" s="103"/>
      <c r="P63" s="103"/>
      <c r="Q63" s="104"/>
      <c r="R63" s="82"/>
      <c r="S63" s="2"/>
    </row>
    <row r="64" spans="1:19" ht="39.950000000000003" customHeight="1" thickBot="1" x14ac:dyDescent="0.3">
      <c r="A64" s="13" t="s">
        <v>132</v>
      </c>
      <c r="B64" s="15" t="s">
        <v>133</v>
      </c>
      <c r="J64" s="6"/>
      <c r="K64" s="93" t="s">
        <v>7</v>
      </c>
      <c r="L64" s="105" t="s">
        <v>37</v>
      </c>
      <c r="M64" s="106"/>
      <c r="N64" s="105" t="s">
        <v>9</v>
      </c>
      <c r="O64" s="109"/>
      <c r="P64" s="109"/>
      <c r="Q64" s="106"/>
      <c r="R64" s="81"/>
      <c r="S64" s="8"/>
    </row>
    <row r="65" spans="1:19" ht="39.950000000000003" customHeight="1" thickBot="1" x14ac:dyDescent="0.3">
      <c r="A65" s="13" t="s">
        <v>134</v>
      </c>
      <c r="B65" s="15" t="s">
        <v>135</v>
      </c>
      <c r="J65" s="6"/>
      <c r="K65" s="94"/>
      <c r="L65" s="107"/>
      <c r="M65" s="108"/>
      <c r="N65" s="107"/>
      <c r="O65" s="110"/>
      <c r="P65" s="110"/>
      <c r="Q65" s="108"/>
      <c r="R65" s="81"/>
      <c r="S65" s="8"/>
    </row>
    <row r="66" spans="1:19" ht="39.950000000000003" customHeight="1" thickBot="1" x14ac:dyDescent="0.3">
      <c r="A66" s="13" t="s">
        <v>136</v>
      </c>
      <c r="B66" s="15" t="s">
        <v>137</v>
      </c>
      <c r="J66" s="6"/>
      <c r="K66" s="93" t="s">
        <v>124</v>
      </c>
      <c r="L66" s="95" t="str">
        <f>IFERROR(INDEX($B$53:$B$87, MATCH(K66, $A$53:$A$87, 0)), " ")</f>
        <v>Utilizar hojas y material de trabajo poco recargados.</v>
      </c>
      <c r="M66" s="96"/>
      <c r="N66" s="99"/>
      <c r="O66" s="100"/>
      <c r="P66" s="100"/>
      <c r="Q66" s="101"/>
      <c r="R66" s="82"/>
      <c r="S66" s="8"/>
    </row>
    <row r="67" spans="1:19" ht="39.950000000000003" customHeight="1" thickBot="1" x14ac:dyDescent="0.3">
      <c r="A67" s="13" t="s">
        <v>138</v>
      </c>
      <c r="B67" s="15" t="s">
        <v>139</v>
      </c>
      <c r="J67" s="6"/>
      <c r="K67" s="94"/>
      <c r="L67" s="97"/>
      <c r="M67" s="98"/>
      <c r="N67" s="102"/>
      <c r="O67" s="103"/>
      <c r="P67" s="103"/>
      <c r="Q67" s="104"/>
      <c r="R67" s="82"/>
      <c r="S67" s="8"/>
    </row>
    <row r="68" spans="1:19" ht="39.950000000000003" customHeight="1" thickBot="1" x14ac:dyDescent="0.3">
      <c r="A68" s="13" t="s">
        <v>140</v>
      </c>
      <c r="B68" s="15" t="s">
        <v>141</v>
      </c>
      <c r="J68" s="6"/>
      <c r="K68" s="93" t="s">
        <v>122</v>
      </c>
      <c r="L68" s="95" t="str">
        <f t="shared" ref="L68" si="2">IFERROR(INDEX($B$53:$B$87, MATCH(K68, $A$53:$A$87, 0)), " ")</f>
        <v>De ser necesario disminuir la longitud y la cantidad de las tareas y/o actividades.</v>
      </c>
      <c r="M68" s="96"/>
      <c r="N68" s="99"/>
      <c r="O68" s="100"/>
      <c r="P68" s="100"/>
      <c r="Q68" s="101"/>
      <c r="R68" s="82"/>
      <c r="S68" s="8"/>
    </row>
    <row r="69" spans="1:19" ht="39.950000000000003" customHeight="1" thickBot="1" x14ac:dyDescent="0.3">
      <c r="A69" s="13" t="s">
        <v>142</v>
      </c>
      <c r="B69" s="15" t="s">
        <v>143</v>
      </c>
      <c r="J69" s="6"/>
      <c r="K69" s="94"/>
      <c r="L69" s="97"/>
      <c r="M69" s="98"/>
      <c r="N69" s="102"/>
      <c r="O69" s="103"/>
      <c r="P69" s="103"/>
      <c r="Q69" s="104"/>
      <c r="R69" s="82"/>
      <c r="S69" s="8"/>
    </row>
    <row r="70" spans="1:19" ht="39.950000000000003" customHeight="1" thickBot="1" x14ac:dyDescent="0.3">
      <c r="A70" s="13" t="s">
        <v>144</v>
      </c>
      <c r="B70" s="15" t="s">
        <v>145</v>
      </c>
      <c r="J70" s="6"/>
      <c r="K70" s="93" t="s">
        <v>170</v>
      </c>
      <c r="L70" s="95" t="str">
        <f t="shared" ref="L70" si="3">IFERROR(INDEX($B$53:$B$87, MATCH(K70, $A$53:$A$87, 0)), " ")</f>
        <v>Establecer rutinas de trabajo.</v>
      </c>
      <c r="M70" s="96"/>
      <c r="N70" s="99"/>
      <c r="O70" s="100"/>
      <c r="P70" s="100"/>
      <c r="Q70" s="101"/>
      <c r="R70" s="82"/>
      <c r="S70" s="8"/>
    </row>
    <row r="71" spans="1:19" ht="39.950000000000003" customHeight="1" thickBot="1" x14ac:dyDescent="0.3">
      <c r="A71" s="13" t="s">
        <v>146</v>
      </c>
      <c r="B71" s="15" t="s">
        <v>147</v>
      </c>
      <c r="J71" s="6"/>
      <c r="K71" s="94"/>
      <c r="L71" s="97"/>
      <c r="M71" s="98"/>
      <c r="N71" s="102"/>
      <c r="O71" s="103"/>
      <c r="P71" s="103"/>
      <c r="Q71" s="104"/>
      <c r="R71" s="82"/>
      <c r="S71" s="8"/>
    </row>
    <row r="72" spans="1:19" ht="39.950000000000003" customHeight="1" thickBot="1" x14ac:dyDescent="0.35">
      <c r="A72" s="13" t="s">
        <v>148</v>
      </c>
      <c r="B72" s="15" t="s">
        <v>149</v>
      </c>
      <c r="J72" s="9"/>
      <c r="K72" s="84"/>
      <c r="L72" s="75"/>
      <c r="M72" s="75"/>
      <c r="N72" s="75"/>
      <c r="O72" s="75"/>
      <c r="P72" s="75"/>
      <c r="Q72" s="75"/>
      <c r="R72" s="75"/>
      <c r="S72" s="11"/>
    </row>
    <row r="73" spans="1:19" ht="39.950000000000003" customHeight="1" thickBot="1" x14ac:dyDescent="0.3">
      <c r="A73" s="13" t="s">
        <v>150</v>
      </c>
      <c r="B73" s="15" t="s">
        <v>151</v>
      </c>
    </row>
    <row r="74" spans="1:19" ht="39.950000000000003" customHeight="1" thickBot="1" x14ac:dyDescent="0.35">
      <c r="A74" s="13" t="s">
        <v>152</v>
      </c>
      <c r="B74" s="15" t="s">
        <v>153</v>
      </c>
      <c r="J74" s="19"/>
      <c r="K74" s="85"/>
      <c r="L74" s="79"/>
      <c r="M74" s="79"/>
      <c r="N74" s="79"/>
      <c r="O74" s="79"/>
      <c r="P74" s="79"/>
      <c r="Q74" s="79"/>
      <c r="R74" s="79"/>
      <c r="S74" s="5"/>
    </row>
    <row r="75" spans="1:19" ht="39.950000000000003" customHeight="1" thickBot="1" x14ac:dyDescent="0.35">
      <c r="A75" s="13" t="s">
        <v>154</v>
      </c>
      <c r="B75" s="15" t="s">
        <v>155</v>
      </c>
      <c r="J75" s="6"/>
      <c r="K75" s="83"/>
      <c r="L75" s="28"/>
      <c r="M75" s="28"/>
      <c r="N75" s="28"/>
      <c r="O75" s="28"/>
      <c r="P75" s="28"/>
      <c r="Q75" s="28"/>
      <c r="R75" s="28"/>
      <c r="S75" s="8"/>
    </row>
    <row r="76" spans="1:19" ht="39.950000000000003" customHeight="1" thickBot="1" x14ac:dyDescent="0.3">
      <c r="A76" s="13" t="s">
        <v>156</v>
      </c>
      <c r="B76" s="15" t="s">
        <v>157</v>
      </c>
      <c r="J76" s="6"/>
      <c r="K76" s="7"/>
      <c r="L76" s="7"/>
      <c r="M76" s="7"/>
      <c r="N76" s="7"/>
      <c r="O76" s="7"/>
      <c r="P76" s="7"/>
      <c r="Q76" s="7"/>
      <c r="R76" s="7"/>
      <c r="S76" s="8"/>
    </row>
    <row r="77" spans="1:19" ht="39.950000000000003" customHeight="1" thickBot="1" x14ac:dyDescent="0.35">
      <c r="A77" s="13" t="s">
        <v>158</v>
      </c>
      <c r="B77" s="15" t="s">
        <v>159</v>
      </c>
      <c r="J77" s="16"/>
      <c r="K77" s="93" t="s">
        <v>7</v>
      </c>
      <c r="L77" s="105" t="s">
        <v>38</v>
      </c>
      <c r="M77" s="106"/>
      <c r="N77" s="105" t="s">
        <v>9</v>
      </c>
      <c r="O77" s="109"/>
      <c r="P77" s="109"/>
      <c r="Q77" s="106"/>
      <c r="R77" s="81"/>
      <c r="S77" s="8"/>
    </row>
    <row r="78" spans="1:19" ht="39.950000000000003" customHeight="1" thickBot="1" x14ac:dyDescent="0.35">
      <c r="A78" s="13" t="s">
        <v>160</v>
      </c>
      <c r="B78" s="15" t="s">
        <v>161</v>
      </c>
      <c r="J78" s="16"/>
      <c r="K78" s="94"/>
      <c r="L78" s="107"/>
      <c r="M78" s="108"/>
      <c r="N78" s="107"/>
      <c r="O78" s="110"/>
      <c r="P78" s="110"/>
      <c r="Q78" s="108"/>
      <c r="R78" s="81"/>
      <c r="S78" s="8"/>
    </row>
    <row r="79" spans="1:19" ht="39.950000000000003" customHeight="1" thickBot="1" x14ac:dyDescent="0.35">
      <c r="A79" s="13" t="s">
        <v>162</v>
      </c>
      <c r="B79" s="15" t="s">
        <v>163</v>
      </c>
      <c r="J79" s="16"/>
      <c r="K79" s="93" t="s">
        <v>192</v>
      </c>
      <c r="L79" s="95" t="str">
        <f>IFERROR(INDEX($B$90:$B$104, MATCH(K79, $A$90:$A$104, 0)), " ")</f>
        <v>Eliminar ítems memorísticos.</v>
      </c>
      <c r="M79" s="96"/>
      <c r="N79" s="99"/>
      <c r="O79" s="100"/>
      <c r="P79" s="100"/>
      <c r="Q79" s="101"/>
      <c r="R79" s="82"/>
      <c r="S79" s="8"/>
    </row>
    <row r="80" spans="1:19" ht="39.950000000000003" customHeight="1" thickBot="1" x14ac:dyDescent="0.35">
      <c r="A80" s="13" t="s">
        <v>164</v>
      </c>
      <c r="B80" s="15" t="s">
        <v>165</v>
      </c>
      <c r="J80" s="16"/>
      <c r="K80" s="94"/>
      <c r="L80" s="97"/>
      <c r="M80" s="98"/>
      <c r="N80" s="102"/>
      <c r="O80" s="103"/>
      <c r="P80" s="103"/>
      <c r="Q80" s="104"/>
      <c r="R80" s="82"/>
      <c r="S80" s="8"/>
    </row>
    <row r="81" spans="1:19" ht="39.950000000000003" customHeight="1" thickBot="1" x14ac:dyDescent="0.35">
      <c r="A81" s="13" t="s">
        <v>166</v>
      </c>
      <c r="B81" s="15" t="s">
        <v>167</v>
      </c>
      <c r="J81" s="16"/>
      <c r="K81" s="93" t="s">
        <v>194</v>
      </c>
      <c r="L81" s="95" t="str">
        <f t="shared" ref="L81" si="4">IFERROR(INDEX($B$90:$B$104, MATCH(K81, $A$90:$A$104, 0)), " ")</f>
        <v>Aplicar evaluaciones cortas y frecuentes.</v>
      </c>
      <c r="M81" s="96"/>
      <c r="N81" s="99"/>
      <c r="O81" s="100"/>
      <c r="P81" s="100"/>
      <c r="Q81" s="101"/>
      <c r="R81" s="82"/>
      <c r="S81" s="8"/>
    </row>
    <row r="82" spans="1:19" ht="39.950000000000003" customHeight="1" thickBot="1" x14ac:dyDescent="0.35">
      <c r="A82" s="13" t="s">
        <v>168</v>
      </c>
      <c r="B82" s="15" t="s">
        <v>169</v>
      </c>
      <c r="J82" s="16"/>
      <c r="K82" s="94"/>
      <c r="L82" s="97"/>
      <c r="M82" s="98"/>
      <c r="N82" s="102"/>
      <c r="O82" s="103"/>
      <c r="P82" s="103"/>
      <c r="Q82" s="104"/>
      <c r="R82" s="82"/>
      <c r="S82" s="8"/>
    </row>
    <row r="83" spans="1:19" ht="39.950000000000003" customHeight="1" thickBot="1" x14ac:dyDescent="0.35">
      <c r="A83" s="13" t="s">
        <v>170</v>
      </c>
      <c r="B83" s="15" t="s">
        <v>68</v>
      </c>
      <c r="J83" s="16"/>
      <c r="K83" s="93" t="s">
        <v>204</v>
      </c>
      <c r="L83" s="95" t="str">
        <f t="shared" ref="L83" si="5">IFERROR(INDEX($B$90:$B$104, MATCH(K83, $A$90:$A$104, 0)), " ")</f>
        <v>Usar la calculadora.</v>
      </c>
      <c r="M83" s="96"/>
      <c r="N83" s="99"/>
      <c r="O83" s="100"/>
      <c r="P83" s="100"/>
      <c r="Q83" s="101"/>
      <c r="R83" s="82"/>
      <c r="S83" s="8"/>
    </row>
    <row r="84" spans="1:19" ht="39.950000000000003" customHeight="1" thickBot="1" x14ac:dyDescent="0.35">
      <c r="A84" s="13" t="s">
        <v>171</v>
      </c>
      <c r="B84" s="15" t="s">
        <v>172</v>
      </c>
      <c r="J84" s="16"/>
      <c r="K84" s="94"/>
      <c r="L84" s="97"/>
      <c r="M84" s="98"/>
      <c r="N84" s="102"/>
      <c r="O84" s="103"/>
      <c r="P84" s="103"/>
      <c r="Q84" s="104"/>
      <c r="R84" s="82"/>
      <c r="S84" s="8"/>
    </row>
    <row r="85" spans="1:19" ht="39.950000000000003" customHeight="1" thickBot="1" x14ac:dyDescent="0.35">
      <c r="A85" s="13" t="s">
        <v>173</v>
      </c>
      <c r="B85" s="15" t="s">
        <v>174</v>
      </c>
      <c r="J85" s="16"/>
      <c r="K85" s="6"/>
      <c r="L85" s="7"/>
      <c r="M85" s="7"/>
      <c r="N85" s="7"/>
      <c r="O85" s="7"/>
      <c r="P85" s="7"/>
      <c r="Q85" s="8"/>
      <c r="R85" s="46"/>
      <c r="S85" s="8"/>
    </row>
    <row r="86" spans="1:19" ht="39.950000000000003" customHeight="1" thickBot="1" x14ac:dyDescent="0.35">
      <c r="A86" s="13" t="s">
        <v>175</v>
      </c>
      <c r="B86" s="15" t="s">
        <v>176</v>
      </c>
      <c r="J86" s="16"/>
      <c r="K86" s="147" t="s">
        <v>39</v>
      </c>
      <c r="L86" s="148"/>
      <c r="M86" s="148"/>
      <c r="N86" s="148"/>
      <c r="O86" s="148"/>
      <c r="P86" s="148"/>
      <c r="Q86" s="149"/>
      <c r="R86" s="46"/>
      <c r="S86" s="8"/>
    </row>
    <row r="87" spans="1:19" ht="39.950000000000003" customHeight="1" thickBot="1" x14ac:dyDescent="0.35">
      <c r="A87" s="13" t="s">
        <v>177</v>
      </c>
      <c r="B87" s="39" t="s">
        <v>72</v>
      </c>
      <c r="J87" s="16"/>
      <c r="K87" s="150" t="s">
        <v>230</v>
      </c>
      <c r="L87" s="151"/>
      <c r="M87" s="24" t="s">
        <v>43</v>
      </c>
      <c r="N87" s="24" t="s">
        <v>40</v>
      </c>
      <c r="O87" s="24"/>
      <c r="P87" s="24"/>
      <c r="Q87" s="52" t="s">
        <v>41</v>
      </c>
      <c r="R87" s="47"/>
      <c r="S87" s="8"/>
    </row>
    <row r="88" spans="1:19" ht="39.950000000000003" customHeight="1" thickBot="1" x14ac:dyDescent="0.3">
      <c r="J88" s="6"/>
      <c r="K88" s="50" t="s">
        <v>42</v>
      </c>
      <c r="L88" s="24"/>
      <c r="M88" s="24"/>
      <c r="N88" s="24"/>
      <c r="O88" s="24"/>
      <c r="P88" s="24"/>
      <c r="Q88" s="52"/>
      <c r="R88" s="47"/>
      <c r="S88" s="2"/>
    </row>
    <row r="89" spans="1:19" ht="39.950000000000003" customHeight="1" thickBot="1" x14ac:dyDescent="0.4">
      <c r="A89" s="21"/>
      <c r="B89" s="22" t="s">
        <v>178</v>
      </c>
      <c r="J89" s="6"/>
      <c r="K89" s="50" t="s">
        <v>44</v>
      </c>
      <c r="L89" s="25"/>
      <c r="M89" s="26"/>
      <c r="N89" s="26"/>
      <c r="O89" s="26"/>
      <c r="P89" s="26"/>
      <c r="Q89" s="53"/>
      <c r="R89" s="47"/>
      <c r="S89" s="2"/>
    </row>
    <row r="90" spans="1:19" ht="39.950000000000003" customHeight="1" thickBot="1" x14ac:dyDescent="0.35">
      <c r="A90" s="13" t="s">
        <v>177</v>
      </c>
      <c r="B90" s="15" t="s">
        <v>179</v>
      </c>
      <c r="J90" s="6"/>
      <c r="K90" s="152"/>
      <c r="L90" s="153"/>
      <c r="M90" s="153"/>
      <c r="N90" s="153"/>
      <c r="O90" s="153"/>
      <c r="P90" s="153"/>
      <c r="Q90" s="154"/>
      <c r="R90" s="47"/>
      <c r="S90" s="2"/>
    </row>
    <row r="91" spans="1:19" ht="39.950000000000003" customHeight="1" thickBot="1" x14ac:dyDescent="0.35">
      <c r="A91" s="13" t="s">
        <v>180</v>
      </c>
      <c r="B91" s="15" t="s">
        <v>181</v>
      </c>
      <c r="J91" s="6"/>
      <c r="K91" s="152"/>
      <c r="L91" s="153"/>
      <c r="M91" s="153"/>
      <c r="N91" s="153"/>
      <c r="O91" s="153"/>
      <c r="P91" s="153"/>
      <c r="Q91" s="154"/>
      <c r="R91" s="47"/>
      <c r="S91" s="2"/>
    </row>
    <row r="92" spans="1:19" ht="39.950000000000003" customHeight="1" thickBot="1" x14ac:dyDescent="0.35">
      <c r="A92" s="13" t="s">
        <v>182</v>
      </c>
      <c r="B92" s="15" t="s">
        <v>183</v>
      </c>
      <c r="J92" s="6"/>
      <c r="K92" s="155"/>
      <c r="L92" s="156"/>
      <c r="M92" s="156"/>
      <c r="N92" s="156"/>
      <c r="O92" s="156"/>
      <c r="P92" s="156"/>
      <c r="Q92" s="157"/>
      <c r="R92" s="47"/>
      <c r="S92" s="2"/>
    </row>
    <row r="93" spans="1:19" ht="39.950000000000003" customHeight="1" thickBot="1" x14ac:dyDescent="0.3">
      <c r="A93" s="13" t="s">
        <v>184</v>
      </c>
      <c r="B93" s="15" t="s">
        <v>185</v>
      </c>
      <c r="J93" s="6"/>
      <c r="K93" s="7"/>
      <c r="L93" s="7"/>
      <c r="M93" s="7"/>
      <c r="N93" s="7"/>
      <c r="O93" s="7"/>
      <c r="P93" s="7"/>
      <c r="Q93" s="7"/>
      <c r="R93" s="7"/>
      <c r="S93" s="2"/>
    </row>
    <row r="94" spans="1:19" ht="39.950000000000003" customHeight="1" thickBot="1" x14ac:dyDescent="0.35">
      <c r="A94" s="13" t="s">
        <v>186</v>
      </c>
      <c r="B94" s="14" t="s">
        <v>187</v>
      </c>
      <c r="J94" s="6"/>
      <c r="K94" s="7"/>
      <c r="L94" s="7"/>
      <c r="M94" s="7"/>
      <c r="N94" s="7"/>
      <c r="O94" s="7"/>
      <c r="P94" s="7"/>
      <c r="Q94" s="7"/>
      <c r="R94" s="45"/>
      <c r="S94" s="2"/>
    </row>
    <row r="95" spans="1:19" ht="39.950000000000003" customHeight="1" thickBot="1" x14ac:dyDescent="0.3">
      <c r="A95" s="13" t="s">
        <v>188</v>
      </c>
      <c r="B95" s="14" t="s">
        <v>189</v>
      </c>
      <c r="J95" s="6"/>
      <c r="K95" s="41" t="s">
        <v>46</v>
      </c>
      <c r="L95" s="41"/>
      <c r="M95" s="41"/>
      <c r="N95" s="41" t="s">
        <v>46</v>
      </c>
      <c r="O95" s="41"/>
      <c r="P95" s="41"/>
      <c r="Q95" s="41"/>
      <c r="R95" s="41"/>
      <c r="S95" s="27"/>
    </row>
    <row r="96" spans="1:19" ht="39.950000000000003" customHeight="1" thickBot="1" x14ac:dyDescent="0.3">
      <c r="A96" s="13" t="s">
        <v>190</v>
      </c>
      <c r="B96" s="15" t="s">
        <v>191</v>
      </c>
      <c r="J96" s="6"/>
      <c r="K96" s="43" t="s">
        <v>45</v>
      </c>
      <c r="L96" s="43"/>
      <c r="M96" s="43"/>
      <c r="N96" s="43" t="s">
        <v>47</v>
      </c>
      <c r="O96" s="43"/>
      <c r="P96" s="43"/>
      <c r="Q96" s="43"/>
      <c r="R96" s="43"/>
      <c r="S96" s="44"/>
    </row>
    <row r="97" spans="1:19" ht="39.950000000000003" customHeight="1" thickBot="1" x14ac:dyDescent="0.3">
      <c r="A97" s="13" t="s">
        <v>192</v>
      </c>
      <c r="B97" s="15" t="s">
        <v>193</v>
      </c>
      <c r="J97" s="6"/>
      <c r="K97" s="28"/>
      <c r="L97" s="28"/>
      <c r="M97" s="28"/>
      <c r="N97" s="28"/>
      <c r="O97" s="28"/>
      <c r="P97" s="28"/>
      <c r="Q97" s="28"/>
      <c r="R97" s="28"/>
      <c r="S97" s="29"/>
    </row>
    <row r="98" spans="1:19" ht="39.950000000000003" customHeight="1" thickBot="1" x14ac:dyDescent="0.3">
      <c r="A98" s="13" t="s">
        <v>194</v>
      </c>
      <c r="B98" s="15" t="s">
        <v>195</v>
      </c>
      <c r="J98" s="6"/>
      <c r="K98" s="28" t="s">
        <v>48</v>
      </c>
      <c r="L98" s="28"/>
      <c r="M98" s="28"/>
      <c r="N98" s="28"/>
      <c r="O98" s="28"/>
      <c r="P98" s="28"/>
      <c r="Q98" s="28"/>
      <c r="R98" s="28"/>
      <c r="S98" s="29"/>
    </row>
    <row r="99" spans="1:19" ht="39.950000000000003" customHeight="1" thickBot="1" x14ac:dyDescent="0.3">
      <c r="A99" s="13" t="s">
        <v>196</v>
      </c>
      <c r="B99" s="15" t="s">
        <v>197</v>
      </c>
      <c r="J99" s="6"/>
      <c r="K99" s="7"/>
      <c r="L99" s="7"/>
      <c r="M99" s="7"/>
      <c r="N99" s="7"/>
      <c r="O99" s="7"/>
      <c r="P99" s="7"/>
      <c r="Q99" s="7"/>
      <c r="R99" s="7"/>
      <c r="S99" s="8"/>
    </row>
    <row r="100" spans="1:19" ht="39.950000000000003" customHeight="1" thickBot="1" x14ac:dyDescent="0.3">
      <c r="A100" s="13" t="s">
        <v>198</v>
      </c>
      <c r="B100" s="15" t="s">
        <v>199</v>
      </c>
      <c r="J100" s="6"/>
      <c r="K100" s="7"/>
      <c r="L100" s="7"/>
      <c r="M100" s="7"/>
      <c r="N100" s="7"/>
      <c r="O100" s="7"/>
      <c r="P100" s="7"/>
      <c r="Q100" s="7"/>
      <c r="R100" s="7"/>
      <c r="S100" s="8"/>
    </row>
    <row r="101" spans="1:19" ht="39.950000000000003" customHeight="1" thickBot="1" x14ac:dyDescent="0.3">
      <c r="A101" s="13" t="s">
        <v>200</v>
      </c>
      <c r="B101" s="15" t="s">
        <v>201</v>
      </c>
      <c r="J101" s="6"/>
      <c r="K101" s="7"/>
      <c r="L101" s="7"/>
      <c r="M101" s="7"/>
      <c r="N101" s="7"/>
      <c r="O101" s="7"/>
      <c r="P101" s="7"/>
      <c r="Q101" s="7"/>
      <c r="R101" s="7"/>
      <c r="S101" s="8"/>
    </row>
    <row r="102" spans="1:19" ht="39.950000000000003" customHeight="1" thickBot="1" x14ac:dyDescent="0.3">
      <c r="A102" s="13" t="s">
        <v>202</v>
      </c>
      <c r="B102" s="15" t="s">
        <v>203</v>
      </c>
      <c r="J102" s="6"/>
      <c r="K102" s="158" t="s">
        <v>49</v>
      </c>
      <c r="L102" s="158"/>
      <c r="M102" s="158"/>
      <c r="N102" s="158"/>
      <c r="O102" s="158"/>
      <c r="P102" s="158"/>
      <c r="Q102" s="158"/>
      <c r="R102" s="158"/>
      <c r="S102" s="159"/>
    </row>
    <row r="103" spans="1:19" ht="39.950000000000003" customHeight="1" thickBot="1" x14ac:dyDescent="0.3">
      <c r="A103" s="13" t="s">
        <v>204</v>
      </c>
      <c r="B103" s="15" t="s">
        <v>205</v>
      </c>
      <c r="J103" s="6"/>
      <c r="K103" s="7"/>
      <c r="L103" s="146" t="s">
        <v>50</v>
      </c>
      <c r="M103" s="146"/>
      <c r="N103" s="146"/>
      <c r="O103" s="146"/>
      <c r="P103" s="146"/>
      <c r="Q103" s="146"/>
      <c r="R103" s="51"/>
      <c r="S103" s="8"/>
    </row>
    <row r="104" spans="1:19" ht="39.950000000000003" customHeight="1" thickBot="1" x14ac:dyDescent="0.3">
      <c r="A104" s="13" t="s">
        <v>206</v>
      </c>
      <c r="B104" s="39" t="s">
        <v>72</v>
      </c>
      <c r="J104" s="6"/>
      <c r="K104" s="7"/>
      <c r="L104" s="7"/>
      <c r="M104" s="7"/>
      <c r="N104" s="7"/>
      <c r="O104" s="7"/>
      <c r="P104" s="7"/>
      <c r="Q104" s="7"/>
      <c r="R104" s="7"/>
      <c r="S104" s="8"/>
    </row>
    <row r="105" spans="1:19" ht="39.950000000000003" customHeight="1" thickBot="1" x14ac:dyDescent="0.3">
      <c r="J105" s="9"/>
      <c r="K105" s="10"/>
      <c r="L105" s="10"/>
      <c r="M105" s="10"/>
      <c r="N105" s="10"/>
      <c r="O105" s="10"/>
      <c r="P105" s="10"/>
      <c r="Q105" s="10"/>
      <c r="R105" s="10"/>
      <c r="S105" s="11"/>
    </row>
    <row r="106" spans="1:19" ht="39.950000000000003" customHeight="1" x14ac:dyDescent="0.25"/>
    <row r="107" spans="1:19" ht="39.950000000000003" customHeight="1" x14ac:dyDescent="0.25"/>
    <row r="108" spans="1:19" ht="39.950000000000003" customHeight="1" x14ac:dyDescent="0.25"/>
    <row r="109" spans="1:19" ht="39.950000000000003" customHeight="1" x14ac:dyDescent="0.25"/>
    <row r="110" spans="1:19" ht="39.950000000000003" customHeight="1" x14ac:dyDescent="0.25"/>
    <row r="111" spans="1:19" ht="39.950000000000003" customHeight="1" x14ac:dyDescent="0.25"/>
    <row r="112" spans="1:19" ht="39.950000000000003" customHeight="1" x14ac:dyDescent="0.25"/>
    <row r="113" ht="39.950000000000003" customHeight="1" x14ac:dyDescent="0.25"/>
    <row r="114" ht="39.950000000000003" customHeight="1" x14ac:dyDescent="0.25"/>
    <row r="115" ht="39.950000000000003" customHeight="1" x14ac:dyDescent="0.25"/>
    <row r="116" ht="39.950000000000003" customHeight="1" x14ac:dyDescent="0.25"/>
    <row r="117" ht="39.950000000000003" customHeight="1" x14ac:dyDescent="0.25"/>
    <row r="118" ht="39.950000000000003" customHeight="1" x14ac:dyDescent="0.25"/>
    <row r="119" ht="39.950000000000003" customHeight="1" x14ac:dyDescent="0.25"/>
    <row r="120" ht="39.950000000000003" customHeight="1" x14ac:dyDescent="0.25"/>
    <row r="121" ht="39.950000000000003" customHeight="1" x14ac:dyDescent="0.25"/>
    <row r="122" ht="39.950000000000003" customHeight="1" x14ac:dyDescent="0.25"/>
    <row r="123" ht="39.950000000000003" customHeight="1" x14ac:dyDescent="0.25"/>
    <row r="124" ht="39.950000000000003" customHeight="1" x14ac:dyDescent="0.25"/>
    <row r="125" ht="39.950000000000003" customHeight="1" x14ac:dyDescent="0.25"/>
    <row r="126" ht="39.950000000000003" customHeight="1" x14ac:dyDescent="0.25"/>
    <row r="127" ht="39.950000000000003" customHeight="1" x14ac:dyDescent="0.25"/>
    <row r="128" ht="39.950000000000003" customHeight="1" x14ac:dyDescent="0.25"/>
    <row r="129" ht="39.950000000000003" customHeight="1" x14ac:dyDescent="0.25"/>
    <row r="130" ht="39.950000000000003" customHeight="1" x14ac:dyDescent="0.25"/>
    <row r="131" ht="39.950000000000003" customHeight="1" x14ac:dyDescent="0.25"/>
    <row r="132" ht="39.950000000000003" customHeight="1" x14ac:dyDescent="0.25"/>
    <row r="133" ht="39.950000000000003" customHeight="1" x14ac:dyDescent="0.25"/>
    <row r="134" ht="39.950000000000003" customHeight="1" x14ac:dyDescent="0.25"/>
    <row r="135" ht="39.950000000000003" customHeight="1" x14ac:dyDescent="0.25"/>
    <row r="136" ht="39.950000000000003" customHeight="1" x14ac:dyDescent="0.25"/>
    <row r="137" ht="39.950000000000003" customHeight="1" x14ac:dyDescent="0.25"/>
    <row r="138" ht="39.950000000000003" customHeight="1" x14ac:dyDescent="0.25"/>
    <row r="139" ht="39.950000000000003" customHeight="1" x14ac:dyDescent="0.25"/>
    <row r="140" ht="39.950000000000003" customHeight="1" x14ac:dyDescent="0.25"/>
    <row r="141" ht="39.950000000000003" customHeight="1" x14ac:dyDescent="0.25"/>
    <row r="142" ht="39.950000000000003" customHeight="1" x14ac:dyDescent="0.25"/>
    <row r="143" ht="39.950000000000003" customHeight="1" x14ac:dyDescent="0.25"/>
    <row r="144" ht="39.950000000000003" customHeight="1" x14ac:dyDescent="0.25"/>
    <row r="145" ht="39.950000000000003" customHeight="1" x14ac:dyDescent="0.25"/>
    <row r="146" ht="39.950000000000003" customHeight="1" x14ac:dyDescent="0.25"/>
    <row r="147" ht="39.950000000000003" customHeight="1" x14ac:dyDescent="0.25"/>
    <row r="148" ht="39.950000000000003" customHeight="1" x14ac:dyDescent="0.25"/>
    <row r="149" ht="39.950000000000003" customHeight="1" x14ac:dyDescent="0.25"/>
    <row r="150" ht="39.950000000000003" customHeight="1" x14ac:dyDescent="0.25"/>
    <row r="151" ht="39.950000000000003" customHeight="1" x14ac:dyDescent="0.25"/>
    <row r="152" ht="39.950000000000003" customHeight="1" x14ac:dyDescent="0.25"/>
    <row r="153" ht="39.950000000000003" customHeight="1" x14ac:dyDescent="0.25"/>
    <row r="154" ht="39.950000000000003" customHeight="1" x14ac:dyDescent="0.25"/>
    <row r="155" ht="39.950000000000003" customHeight="1" x14ac:dyDescent="0.25"/>
    <row r="156" ht="39.950000000000003" customHeight="1" x14ac:dyDescent="0.25"/>
    <row r="157" ht="39.950000000000003" customHeight="1" x14ac:dyDescent="0.25"/>
    <row r="158" ht="39.950000000000003" customHeight="1" x14ac:dyDescent="0.25"/>
    <row r="159" ht="39.950000000000003" customHeight="1" x14ac:dyDescent="0.25"/>
    <row r="160" ht="39.950000000000003" customHeight="1" x14ac:dyDescent="0.25"/>
    <row r="161" ht="39.950000000000003" customHeight="1" x14ac:dyDescent="0.25"/>
    <row r="162" ht="39.950000000000003" customHeight="1" x14ac:dyDescent="0.25"/>
    <row r="163" ht="39.950000000000003" customHeight="1" x14ac:dyDescent="0.25"/>
    <row r="164" ht="39.950000000000003" customHeight="1" x14ac:dyDescent="0.25"/>
    <row r="165" ht="39.950000000000003" customHeight="1" x14ac:dyDescent="0.25"/>
    <row r="166" ht="39.950000000000003" customHeight="1" x14ac:dyDescent="0.25"/>
    <row r="167" ht="39.950000000000003" customHeight="1" x14ac:dyDescent="0.25"/>
    <row r="168" ht="39.950000000000003" customHeight="1" x14ac:dyDescent="0.25"/>
    <row r="169" ht="39.950000000000003" customHeight="1" x14ac:dyDescent="0.25"/>
    <row r="170" ht="39.950000000000003" customHeight="1" x14ac:dyDescent="0.25"/>
    <row r="171" ht="39.950000000000003" customHeight="1" x14ac:dyDescent="0.25"/>
    <row r="172" ht="39.950000000000003" customHeight="1" x14ac:dyDescent="0.25"/>
    <row r="173" ht="39.950000000000003" customHeight="1" x14ac:dyDescent="0.25"/>
    <row r="174" ht="39.950000000000003" customHeight="1" x14ac:dyDescent="0.25"/>
    <row r="175" ht="39.950000000000003" customHeight="1" x14ac:dyDescent="0.25"/>
    <row r="176" ht="39.950000000000003" customHeight="1" x14ac:dyDescent="0.25"/>
    <row r="177" ht="39.950000000000003" customHeight="1" x14ac:dyDescent="0.25"/>
    <row r="178" ht="39.950000000000003" customHeight="1" x14ac:dyDescent="0.25"/>
    <row r="179" ht="39.950000000000003" customHeight="1" x14ac:dyDescent="0.25"/>
    <row r="180" ht="39.950000000000003" customHeight="1" x14ac:dyDescent="0.25"/>
    <row r="181" ht="39.950000000000003" customHeight="1" x14ac:dyDescent="0.25"/>
    <row r="182" ht="39.950000000000003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</sheetData>
  <sheetProtection algorithmName="SHA-512" hashValue="tSpMuG6EywvX4vPBcvhlg7/l7j/UcU1NP/mDqc3DysjlA5vZo+Mx1nrpGfvAk9wnUofN0vdfBhtwHD5CjB3zdg==" saltValue="tHu0musy6HFjTteV4mgPKA==" spinCount="100000" sheet="1" objects="1" scenarios="1" formatCells="0" formatColumns="0" formatRows="0"/>
  <mergeCells count="143">
    <mergeCell ref="Q28:R29"/>
    <mergeCell ref="O22:O23"/>
    <mergeCell ref="P22:P23"/>
    <mergeCell ref="Q22:R23"/>
    <mergeCell ref="K20:M21"/>
    <mergeCell ref="N20:N21"/>
    <mergeCell ref="O20:O21"/>
    <mergeCell ref="P20:P21"/>
    <mergeCell ref="Q20:R21"/>
    <mergeCell ref="D15:G17"/>
    <mergeCell ref="O34:O35"/>
    <mergeCell ref="P34:P35"/>
    <mergeCell ref="Q34:R35"/>
    <mergeCell ref="O30:O31"/>
    <mergeCell ref="P30:P31"/>
    <mergeCell ref="Q30:R31"/>
    <mergeCell ref="K32:M33"/>
    <mergeCell ref="N32:N33"/>
    <mergeCell ref="O32:O33"/>
    <mergeCell ref="P32:P33"/>
    <mergeCell ref="Q32:R33"/>
    <mergeCell ref="O26:O27"/>
    <mergeCell ref="P26:P27"/>
    <mergeCell ref="Q26:R27"/>
    <mergeCell ref="K28:M29"/>
    <mergeCell ref="N28:N29"/>
    <mergeCell ref="O28:O29"/>
    <mergeCell ref="P28:P29"/>
    <mergeCell ref="K70:K71"/>
    <mergeCell ref="L70:M71"/>
    <mergeCell ref="N70:Q71"/>
    <mergeCell ref="N41:Q41"/>
    <mergeCell ref="K14:M15"/>
    <mergeCell ref="N14:N15"/>
    <mergeCell ref="O14:O15"/>
    <mergeCell ref="P14:P15"/>
    <mergeCell ref="Q14:R15"/>
    <mergeCell ref="K18:M19"/>
    <mergeCell ref="N18:N19"/>
    <mergeCell ref="O18:O19"/>
    <mergeCell ref="P18:P19"/>
    <mergeCell ref="K66:K67"/>
    <mergeCell ref="L66:M67"/>
    <mergeCell ref="N66:Q67"/>
    <mergeCell ref="K68:K69"/>
    <mergeCell ref="L68:M69"/>
    <mergeCell ref="N68:Q69"/>
    <mergeCell ref="K62:K63"/>
    <mergeCell ref="L62:M63"/>
    <mergeCell ref="N62:Q63"/>
    <mergeCell ref="K64:K65"/>
    <mergeCell ref="L64:M65"/>
    <mergeCell ref="N64:Q65"/>
    <mergeCell ref="N42:Q43"/>
    <mergeCell ref="K44:K45"/>
    <mergeCell ref="L44:M45"/>
    <mergeCell ref="N44:Q45"/>
    <mergeCell ref="K46:K47"/>
    <mergeCell ref="L46:M47"/>
    <mergeCell ref="N46:Q47"/>
    <mergeCell ref="K102:S102"/>
    <mergeCell ref="K77:K78"/>
    <mergeCell ref="L77:M78"/>
    <mergeCell ref="N77:Q78"/>
    <mergeCell ref="K79:K80"/>
    <mergeCell ref="L79:M80"/>
    <mergeCell ref="N79:Q80"/>
    <mergeCell ref="K48:K49"/>
    <mergeCell ref="L48:M49"/>
    <mergeCell ref="N48:Q49"/>
    <mergeCell ref="K50:K51"/>
    <mergeCell ref="L50:M51"/>
    <mergeCell ref="N50:Q51"/>
    <mergeCell ref="K52:K53"/>
    <mergeCell ref="L52:M53"/>
    <mergeCell ref="N52:Q53"/>
    <mergeCell ref="L103:Q103"/>
    <mergeCell ref="K86:Q86"/>
    <mergeCell ref="K87:L87"/>
    <mergeCell ref="K90:Q90"/>
    <mergeCell ref="K91:Q91"/>
    <mergeCell ref="K92:Q92"/>
    <mergeCell ref="K81:K82"/>
    <mergeCell ref="L81:M82"/>
    <mergeCell ref="N81:Q82"/>
    <mergeCell ref="K83:K84"/>
    <mergeCell ref="L83:M84"/>
    <mergeCell ref="N83:Q84"/>
    <mergeCell ref="B3:B4"/>
    <mergeCell ref="C5:F8"/>
    <mergeCell ref="C9:F12"/>
    <mergeCell ref="K10:L10"/>
    <mergeCell ref="L13:M13"/>
    <mergeCell ref="N13:Q13"/>
    <mergeCell ref="K12:L12"/>
    <mergeCell ref="U6:X9"/>
    <mergeCell ref="U10:X13"/>
    <mergeCell ref="L1:Q3"/>
    <mergeCell ref="N12:P12"/>
    <mergeCell ref="M11:P11"/>
    <mergeCell ref="M10:P10"/>
    <mergeCell ref="K9:P9"/>
    <mergeCell ref="Q9:R9"/>
    <mergeCell ref="Q10:R10"/>
    <mergeCell ref="Q11:R11"/>
    <mergeCell ref="Q12:R12"/>
    <mergeCell ref="L7:P8"/>
    <mergeCell ref="U14:X17"/>
    <mergeCell ref="K11:L11"/>
    <mergeCell ref="L41:M41"/>
    <mergeCell ref="K42:K43"/>
    <mergeCell ref="L42:M43"/>
    <mergeCell ref="K26:M27"/>
    <mergeCell ref="N26:N27"/>
    <mergeCell ref="K30:M31"/>
    <mergeCell ref="N30:N31"/>
    <mergeCell ref="K34:M35"/>
    <mergeCell ref="K22:M23"/>
    <mergeCell ref="N22:N23"/>
    <mergeCell ref="N34:N35"/>
    <mergeCell ref="K16:M17"/>
    <mergeCell ref="N16:N17"/>
    <mergeCell ref="O16:O17"/>
    <mergeCell ref="P16:P17"/>
    <mergeCell ref="Q16:R17"/>
    <mergeCell ref="K24:M25"/>
    <mergeCell ref="N24:N25"/>
    <mergeCell ref="O24:O25"/>
    <mergeCell ref="P24:P25"/>
    <mergeCell ref="Q24:R25"/>
    <mergeCell ref="Q18:R19"/>
    <mergeCell ref="K60:K61"/>
    <mergeCell ref="L60:M61"/>
    <mergeCell ref="N60:Q61"/>
    <mergeCell ref="K54:K55"/>
    <mergeCell ref="L54:M55"/>
    <mergeCell ref="N54:Q55"/>
    <mergeCell ref="K56:K57"/>
    <mergeCell ref="L56:M57"/>
    <mergeCell ref="N56:Q57"/>
    <mergeCell ref="K58:K59"/>
    <mergeCell ref="L58:M59"/>
    <mergeCell ref="N58:Q59"/>
  </mergeCells>
  <phoneticPr fontId="9" type="noConversion"/>
  <dataValidations count="5">
    <dataValidation type="list" allowBlank="1" showInputMessage="1" showErrorMessage="1" sqref="K42:K47" xr:uid="{EE231B5F-059D-47C3-8B7F-8E0278BFDB92}">
      <formula1>$A$5:$A$18</formula1>
    </dataValidation>
    <dataValidation type="list" allowBlank="1" showInputMessage="1" showErrorMessage="1" sqref="K50:K55" xr:uid="{9271F788-5A7B-47FF-91E9-4439799E4490}">
      <formula1>$A$19:$A$30</formula1>
    </dataValidation>
    <dataValidation type="list" allowBlank="1" showInputMessage="1" showErrorMessage="1" sqref="K66:K71" xr:uid="{0DB470B5-2E1B-4EAD-958B-18AAF8A82642}">
      <formula1>$A$52:$A$88</formula1>
    </dataValidation>
    <dataValidation type="list" allowBlank="1" showInputMessage="1" showErrorMessage="1" sqref="K79:K84" xr:uid="{4A40472D-CE7A-416C-8CD9-B5CD38505938}">
      <formula1>$A$89:$A$104</formula1>
    </dataValidation>
    <dataValidation type="list" allowBlank="1" showInputMessage="1" showErrorMessage="1" sqref="K38 K58:K63" xr:uid="{493866C7-69AE-4BEF-A97C-7EC93EFB8528}">
      <formula1>$A$33:$A$49</formula1>
    </dataValidation>
  </dataValidations>
  <hyperlinks>
    <hyperlink ref="C9" r:id="rId1" xr:uid="{49BAAC9D-437E-4FCC-B472-3ACDECE2C05B}"/>
    <hyperlink ref="L103" r:id="rId2" display="mailto:ctp.desabalito@mep.go.cr" xr:uid="{4371FD59-F6B4-4275-9EA0-F8678DEF099A}"/>
  </hyperlinks>
  <printOptions horizontalCentered="1"/>
  <pageMargins left="0.59055118110236227" right="0.59055118110236227" top="0.74803149606299213" bottom="0.74803149606299213" header="0" footer="0"/>
  <pageSetup scale="52" fitToHeight="0" orientation="portrait" r:id="rId3"/>
  <rowBreaks count="3" manualBreakCount="3">
    <brk id="39" min="9" max="18" man="1"/>
    <brk id="72" min="9" max="18" man="1"/>
    <brk id="105" min="9" max="18" man="1"/>
  </rowBreaks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4CB998-454A-458A-A5BF-53518E0029E4}">
          <x14:formula1>
            <xm:f>'LISTA DE ESTUDIANTES SIGNI'!$B$2:$B$62</xm:f>
          </x14:formula1>
          <xm:sqref>M10:P10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LISTA DE ESTUDIANTES SIGNI</vt:lpstr>
      <vt:lpstr>ANEXO 10</vt:lpstr>
      <vt:lpstr>'ANEXO 10'!_Toc190024795</vt:lpstr>
      <vt:lpstr>'ANEXO 10'!Área_de_impresión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</cp:lastModifiedBy>
  <cp:lastPrinted>2025-05-29T03:13:37Z</cp:lastPrinted>
  <dcterms:created xsi:type="dcterms:W3CDTF">2025-04-19T02:01:40Z</dcterms:created>
  <dcterms:modified xsi:type="dcterms:W3CDTF">2025-06-03T18:02:49Z</dcterms:modified>
</cp:coreProperties>
</file>