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adminmepcr.sharepoint.com/sites/ComitdeApoyoEducativoCTPSabalito2025/Documentos compartidos/General/"/>
    </mc:Choice>
  </mc:AlternateContent>
  <xr:revisionPtr revIDLastSave="744" documentId="13_ncr:1_{76A8C2BA-6CE9-4AD9-A2EB-EDF9315A1160}" xr6:coauthVersionLast="36" xr6:coauthVersionMax="47" xr10:uidLastSave="{3C9EB9F3-C156-472B-B1F1-9EB81BE69867}"/>
  <bookViews>
    <workbookView xWindow="-105" yWindow="-105" windowWidth="23250" windowHeight="12450" xr2:uid="{20044B6B-C64F-41F7-8D7F-0DA7B5245739}"/>
  </bookViews>
  <sheets>
    <sheet name="Adecuaciones Significativas" sheetId="1" r:id="rId1"/>
    <sheet name="Adecuaciones no significativas" sheetId="2" r:id="rId2"/>
    <sheet name="Hoja1" sheetId="5" r:id="rId3"/>
    <sheet name="Adecuaciones de Acceso" sheetId="3" r:id="rId4"/>
    <sheet name="Traslados" sheetId="4" r:id="rId5"/>
  </sheets>
  <definedNames>
    <definedName name="_xlnm._FilterDatabase" localSheetId="3" hidden="1">'Adecuaciones de Acceso'!$B$6:$C$6</definedName>
    <definedName name="_xlnm._FilterDatabase" localSheetId="1" hidden="1">'Adecuaciones no significativas'!$A$6:$F$6</definedName>
    <definedName name="_xlnm._FilterDatabase" localSheetId="0" hidden="1">'Adecuaciones Significativas'!$A$6:$G$44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" l="1"/>
  <c r="B8" i="2"/>
  <c r="B10" i="2"/>
  <c r="B15" i="2"/>
  <c r="B24" i="2"/>
  <c r="B25" i="2"/>
  <c r="B30" i="2"/>
  <c r="B35" i="2"/>
  <c r="B39" i="2"/>
  <c r="B40" i="2"/>
  <c r="B41" i="2"/>
  <c r="B45" i="2"/>
  <c r="B47" i="2"/>
  <c r="B49" i="2"/>
  <c r="B51" i="2"/>
  <c r="B52" i="2"/>
  <c r="B57" i="2"/>
  <c r="B59" i="2"/>
  <c r="B60" i="2"/>
  <c r="B62" i="2"/>
  <c r="B63" i="2"/>
  <c r="B64" i="2"/>
  <c r="B65" i="2"/>
  <c r="B67" i="2"/>
  <c r="B68" i="2"/>
  <c r="B71" i="2"/>
  <c r="B75" i="2"/>
  <c r="B77" i="2"/>
  <c r="B79" i="2"/>
  <c r="B80" i="2"/>
  <c r="B84" i="2"/>
  <c r="B86" i="2"/>
  <c r="B88" i="2"/>
  <c r="B91" i="2"/>
  <c r="B93" i="2"/>
  <c r="B94" i="2"/>
  <c r="B95" i="2"/>
</calcChain>
</file>

<file path=xl/sharedStrings.xml><?xml version="1.0" encoding="utf-8"?>
<sst xmlns="http://schemas.openxmlformats.org/spreadsheetml/2006/main" count="667" uniqueCount="341">
  <si>
    <t>COLEGIO TÉCNICO PROFESIONAL AGROPECUARIO DE SABALITO.</t>
  </si>
  <si>
    <t>LISTADO DE ADECUACIONES CURRICULARES 2026.</t>
  </si>
  <si>
    <t>Estudiante</t>
  </si>
  <si>
    <t>Sección</t>
  </si>
  <si>
    <t>Cédula</t>
  </si>
  <si>
    <t>Género</t>
  </si>
  <si>
    <t>Nivel de funcionamiento</t>
  </si>
  <si>
    <t>Observaciones</t>
  </si>
  <si>
    <t xml:space="preserve">Arias Barrantes Isaac </t>
  </si>
  <si>
    <t>9-4</t>
  </si>
  <si>
    <t>masculino</t>
  </si>
  <si>
    <t>Nivel de funcionamiento Inglés Académico y conversacional 4°, Francés, Matemáticas, Ciencias, Estudios Sociales 6° y Español 7°,</t>
  </si>
  <si>
    <t>Discapacidad Intelectual</t>
  </si>
  <si>
    <t>Bejerano Bejerano Víctor</t>
  </si>
  <si>
    <t>8-1</t>
  </si>
  <si>
    <t>Nivel de funcionamiento 2°.</t>
  </si>
  <si>
    <t xml:space="preserve">Discapacidad intelectual </t>
  </si>
  <si>
    <t>Bejerano Morales Norberth</t>
  </si>
  <si>
    <t>7-5</t>
  </si>
  <si>
    <t>Nivel de funcionamiento 3°</t>
  </si>
  <si>
    <t>Discpacidad intelectual . Repite sétimo.</t>
  </si>
  <si>
    <t>R</t>
  </si>
  <si>
    <t xml:space="preserve">Cárdenas Fonseca Aarón Josué </t>
  </si>
  <si>
    <t>10-3</t>
  </si>
  <si>
    <t>Carmona Vásquez Yoene</t>
  </si>
  <si>
    <t>7-1</t>
  </si>
  <si>
    <t>femenino</t>
  </si>
  <si>
    <t>Discapacidad Intelectual. Repite Sétimo</t>
  </si>
  <si>
    <t>Carrera Amador Ilder</t>
  </si>
  <si>
    <t>Nivel de funcionamiento 2° I ciclo</t>
  </si>
  <si>
    <t>Discapacidad intelectual, pérdida auditiva. El padre no acepta que esté en plan nacional, recibe quimioterapia, utiliza audífonos, determinar avance, lectura, escritura.Repite sétimo.</t>
  </si>
  <si>
    <t>Castro Campos Vielka Dalay</t>
  </si>
  <si>
    <t>9-5</t>
  </si>
  <si>
    <t>Nivel de funcionamiento Inglés Académico y conversacional 5°, Francés, Matemáticas, Español  Ciencias,  y Español 6°,y Estudios Sociales 7°</t>
  </si>
  <si>
    <t>Cortés Gómez Lewis David</t>
  </si>
  <si>
    <t>11-1</t>
  </si>
  <si>
    <t>605140374</t>
  </si>
  <si>
    <t>Fernández Salas Justin Said.</t>
  </si>
  <si>
    <t>Nivel de funcionamiento 3° grado I ciclo.</t>
  </si>
  <si>
    <t>Discapacidad intelectual. Determinar avance, lectura y escritura, padres matriculan en aula regular.Repite sétimo</t>
  </si>
  <si>
    <t>García Fernández Jorge Joshua</t>
  </si>
  <si>
    <t>8-3</t>
  </si>
  <si>
    <t>Nivel de funcionamiento 4° II ciclo.</t>
  </si>
  <si>
    <t xml:space="preserve">Discapacidad intelectual. </t>
  </si>
  <si>
    <t>Hernández Valencia Yeiny</t>
  </si>
  <si>
    <t>Hacer observaciones avances y lectoescritura</t>
  </si>
  <si>
    <t xml:space="preserve">Jiménez Jiménez Víctor </t>
  </si>
  <si>
    <t xml:space="preserve">Nivel de funcionamiento Inglés Académico y conversacional 4°, Matemáticas 5°, Español, Ciencias, Estudios Sociales y Françés 6°. </t>
  </si>
  <si>
    <t>Martínez Jiménez Kimberly Alexandra</t>
  </si>
  <si>
    <t>9-6</t>
  </si>
  <si>
    <t>Nivel de funcionamiento 4°</t>
  </si>
  <si>
    <t>Miranda Ábrego Amelia</t>
  </si>
  <si>
    <t>8-6</t>
  </si>
  <si>
    <t>Nivel de funcionamiento 3° grado I ciclo</t>
  </si>
  <si>
    <t>Discapacidad intelectual. Determinar avance, lectura y escritura, padres matriculan en aula regular.</t>
  </si>
  <si>
    <t>Molina Molina Fernando</t>
  </si>
  <si>
    <t>605210177</t>
  </si>
  <si>
    <t>Discapacidad Intelectual. Repite décimo</t>
  </si>
  <si>
    <t xml:space="preserve">Morales Palacios Samuel </t>
  </si>
  <si>
    <t>Nivel de funcionamiento 2° escuela</t>
  </si>
  <si>
    <t>Discapacidad intelectual</t>
  </si>
  <si>
    <t>Picado Pérez Evelyn Susana</t>
  </si>
  <si>
    <t>11-2</t>
  </si>
  <si>
    <t>305850706</t>
  </si>
  <si>
    <t>Portugués Villegas Ingrid</t>
  </si>
  <si>
    <t>605140899</t>
  </si>
  <si>
    <t>Salas  Fernández Ashly Valeria</t>
  </si>
  <si>
    <t>7-6</t>
  </si>
  <si>
    <t>6-0542-0643</t>
  </si>
  <si>
    <t>Nivel de funcionamiento 3° grado primaria.</t>
  </si>
  <si>
    <t>Sandoya Mendoza Maricel</t>
  </si>
  <si>
    <t>7-7</t>
  </si>
  <si>
    <t>1591011446616</t>
  </si>
  <si>
    <t xml:space="preserve">Nivel de funcionamiento 3° </t>
  </si>
  <si>
    <r>
      <t xml:space="preserve">Discpacidad intelectual en </t>
    </r>
    <r>
      <rPr>
        <b/>
        <sz val="11"/>
        <color rgb="FF000000"/>
        <rFont val="Arial"/>
        <family val="2"/>
      </rPr>
      <t>TODAS</t>
    </r>
    <r>
      <rPr>
        <sz val="11"/>
        <color rgb="FF000000"/>
        <rFont val="Arial"/>
        <family val="2"/>
      </rPr>
      <t xml:space="preserve"> las asignaturas. Repite sétimo.</t>
    </r>
  </si>
  <si>
    <t>Valverde González Eimy Yaslin</t>
  </si>
  <si>
    <t>8-5</t>
  </si>
  <si>
    <t>Nivel de funcionamiento 3</t>
  </si>
  <si>
    <t>traslado a Coto Brus encargada PANI. Discapacidad Intelectual</t>
  </si>
  <si>
    <t xml:space="preserve">Villegas Acuña Hilary Michel </t>
  </si>
  <si>
    <t>12-4</t>
  </si>
  <si>
    <t>604980512</t>
  </si>
  <si>
    <t>Abrego Morales Migdalia</t>
  </si>
  <si>
    <t>Nivel de funcionamiento 2° grado primaria</t>
  </si>
  <si>
    <t>García Figueroa Kinberlin</t>
  </si>
  <si>
    <t>Discapacidad intelectual y epilepsia</t>
  </si>
  <si>
    <t>Guevara González Jose Alfredo</t>
  </si>
  <si>
    <t>7-3</t>
  </si>
  <si>
    <t>DI</t>
  </si>
  <si>
    <t>Jiménez Castro Emily Anyelina</t>
  </si>
  <si>
    <t>Nivel de funcionamiento 3° grado primaria</t>
  </si>
  <si>
    <t>Jiménez Jiménez Mario</t>
  </si>
  <si>
    <t>No esta expediente en colegio datos obtenidos plataforma SABER</t>
  </si>
  <si>
    <t>Jimenez Zúñiga Nataly Valeria</t>
  </si>
  <si>
    <t>Martinez Montenegro Esthefany</t>
  </si>
  <si>
    <t>DI + asma</t>
  </si>
  <si>
    <t>Montezuma Bejarano Karola</t>
  </si>
  <si>
    <t>7-2</t>
  </si>
  <si>
    <t>DI + Epilepsia</t>
  </si>
  <si>
    <t>Morales Baker Saul</t>
  </si>
  <si>
    <t>Navarro Pérez Anderson Miguel</t>
  </si>
  <si>
    <t>Palacios Quintero María Valeria</t>
  </si>
  <si>
    <t>Nivel de funcionamiento 1° grado primaria</t>
  </si>
  <si>
    <t>Quintero Sandoya Joel Yarot</t>
  </si>
  <si>
    <t>Sandi Marín Eduard Alonso</t>
  </si>
  <si>
    <t>Nivel de funcionamiemto 2° grado primaria</t>
  </si>
  <si>
    <t>Ugalde Hernández Karen Susana</t>
  </si>
  <si>
    <t>Nivel de funcionamiemto 3° grado primaria</t>
  </si>
  <si>
    <t>DI (2025 en Plan Nacional CTPUM)</t>
  </si>
  <si>
    <t>Jiménez Zúñiga Nataly Valeria</t>
  </si>
  <si>
    <t>Repite</t>
  </si>
  <si>
    <t>PA</t>
  </si>
  <si>
    <t>7-4</t>
  </si>
  <si>
    <t>Alemán Sandí Jimena</t>
  </si>
  <si>
    <t>9-1</t>
  </si>
  <si>
    <t xml:space="preserve">P.A </t>
  </si>
  <si>
    <t>Alvarado Guzmán Samantha</t>
  </si>
  <si>
    <t>P.A.</t>
  </si>
  <si>
    <t>Arias Porras Britanny</t>
  </si>
  <si>
    <t>11-4</t>
  </si>
  <si>
    <t>Arias Vindas Hazel Lineth</t>
  </si>
  <si>
    <t>P.A</t>
  </si>
  <si>
    <t>Artavia Ugarte Jhoan José</t>
  </si>
  <si>
    <t>8-4</t>
  </si>
  <si>
    <t>Déficit Atencional, dificultad lectora-comprensiva-analítica.</t>
  </si>
  <si>
    <t>Avilés Jiménez Yareth Alejandra</t>
  </si>
  <si>
    <t>9-2</t>
  </si>
  <si>
    <t>Barrantes Vargas Luis Felipe</t>
  </si>
  <si>
    <t>9-3</t>
  </si>
  <si>
    <t xml:space="preserve">Beita Vargas Rony </t>
  </si>
  <si>
    <t>Bejerano--------- Viviana</t>
  </si>
  <si>
    <t>Blanco Cubero Aaron Fabricio</t>
  </si>
  <si>
    <t>Dificultad procesos de atención y percepción, Dificultad para iniciar y finalizar una actividad. TEA</t>
  </si>
  <si>
    <t>Blanco García Roxiri Paola</t>
  </si>
  <si>
    <t>Bonilla Fallas Valentina</t>
  </si>
  <si>
    <t>Baja visión</t>
  </si>
  <si>
    <t xml:space="preserve">Cascante Vargas Víctor Manuel </t>
  </si>
  <si>
    <t>X</t>
  </si>
  <si>
    <t>Chaves Valerio Alisson Pamela</t>
  </si>
  <si>
    <t>Chaves Valerio Royer David</t>
  </si>
  <si>
    <t>Cherlin Yarixa Picado Muñoz</t>
  </si>
  <si>
    <t>Cruz González Lisandro</t>
  </si>
  <si>
    <t>Erikca Yariela Elizondo Soto</t>
  </si>
  <si>
    <t>8-2</t>
  </si>
  <si>
    <t>PA.</t>
  </si>
  <si>
    <t xml:space="preserve">Espinoza Villalobos Eidan Santiago </t>
  </si>
  <si>
    <t>Flores Prado Lana Jazlin</t>
  </si>
  <si>
    <t>Fonseca Blanco Sharon Jenasha</t>
  </si>
  <si>
    <t>12-1</t>
  </si>
  <si>
    <t xml:space="preserve">García Miranda Marta </t>
  </si>
  <si>
    <t>Gómez Granados Angely Lucía</t>
  </si>
  <si>
    <t>10-5</t>
  </si>
  <si>
    <t xml:space="preserve">P.A Tiempo extra en los trabajos. </t>
  </si>
  <si>
    <t>González Abarca Justin Estarlen</t>
  </si>
  <si>
    <t xml:space="preserve">PA (PROBLEMAS DE APRENIZAJE) </t>
  </si>
  <si>
    <t>Guzmán Muñoz Alana</t>
  </si>
  <si>
    <t>Déficit Atencional, dislexia, discalculia</t>
  </si>
  <si>
    <t>Isabella Francini Navas Mena</t>
  </si>
  <si>
    <t>Jara Rojas Darllelyn Sofía</t>
  </si>
  <si>
    <t xml:space="preserve">Jiménez Sánchez Alexander </t>
  </si>
  <si>
    <t>Lezama Jiménez Matías Steff</t>
  </si>
  <si>
    <t>Martínez Cruz Youchuan Elias</t>
  </si>
  <si>
    <t>Mejías Picado Luis Albeiro</t>
  </si>
  <si>
    <t>10-2</t>
  </si>
  <si>
    <t>Méndez Arauz Angelo Mateo</t>
  </si>
  <si>
    <t>D.A</t>
  </si>
  <si>
    <t>Méndez Portugués Sebastián</t>
  </si>
  <si>
    <t xml:space="preserve">Miranda Ábrego Ivan </t>
  </si>
  <si>
    <t>Miranda López Edgar</t>
  </si>
  <si>
    <t>YR2022-34924</t>
  </si>
  <si>
    <t xml:space="preserve">Morales Martínez Airay Nasaret </t>
  </si>
  <si>
    <t>Picado Coronado Gustavo.</t>
  </si>
  <si>
    <t>Rivera García Blas Antonio</t>
  </si>
  <si>
    <t xml:space="preserve">Rodríguez Miranda Adara Naomi </t>
  </si>
  <si>
    <t>PA Y TEA</t>
  </si>
  <si>
    <t>Rojas Moya Tanisha</t>
  </si>
  <si>
    <t>Salinas Bejarano Johan Fabián</t>
  </si>
  <si>
    <t>Sánchez Montezuma Ronaldo</t>
  </si>
  <si>
    <t>Santos Morales Pablo</t>
  </si>
  <si>
    <t>12-3</t>
  </si>
  <si>
    <t>Solís Chinchilla Kristel</t>
  </si>
  <si>
    <t>10-1</t>
  </si>
  <si>
    <t>Valencia Alvarado Yenedith</t>
  </si>
  <si>
    <t>Problemas Aprendizaje</t>
  </si>
  <si>
    <t>Valeria Sofía Solano Solono</t>
  </si>
  <si>
    <t>Vargas Arias Johan Mathias</t>
  </si>
  <si>
    <r>
      <t>Desorden fono articular (El desorden fonicoarticular es un tipo de trastorno del sonido del habla que se conoce como trastorno articulatorio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) Dislalia, trastornos generales del desarrollo, observación por trastorno espectro autista.</t>
    </r>
  </si>
  <si>
    <t>Vargas Quirós Arihana Victoria</t>
  </si>
  <si>
    <t>Problemas Aprendizajes.</t>
  </si>
  <si>
    <t xml:space="preserve">Vega Espinoza Reashell Yunaiki </t>
  </si>
  <si>
    <t>Vidal Contreras Juan David</t>
  </si>
  <si>
    <t>Villegas Barahona Diarlyn</t>
  </si>
  <si>
    <t>Zamora Campos Santiago</t>
  </si>
  <si>
    <t>Zúñiga Víquez Tayna Massiel</t>
  </si>
  <si>
    <t>Vargas Sandí Wendy</t>
  </si>
  <si>
    <t>Zúñiga Rivera Valeria Lisbeth</t>
  </si>
  <si>
    <t>Vargas Borbón Kenny Nayelli</t>
  </si>
  <si>
    <t>Varela Sánchez Maria Raquel</t>
  </si>
  <si>
    <t>Vásquez Díaz Xiany Fiorela.</t>
  </si>
  <si>
    <t>Jiménez Fernández Ariany</t>
  </si>
  <si>
    <t>Blanco Valverde Briana Alexandra</t>
  </si>
  <si>
    <t>Rodríguez Fuentes Johel Mauricio</t>
  </si>
  <si>
    <t>Agüero Alfaro Isaura María</t>
  </si>
  <si>
    <t>Duran Jiménez Mathew Alejandro</t>
  </si>
  <si>
    <t>Emely Calderón Fallas</t>
  </si>
  <si>
    <t>Primer apellido</t>
  </si>
  <si>
    <t>Segundo apellido</t>
  </si>
  <si>
    <t>Nombre</t>
  </si>
  <si>
    <t>ABREGO</t>
  </si>
  <si>
    <t>.</t>
  </si>
  <si>
    <t>WALTER</t>
  </si>
  <si>
    <t>MIRANDA</t>
  </si>
  <si>
    <t>HERIBERTO JORGE</t>
  </si>
  <si>
    <t>ALEMAN</t>
  </si>
  <si>
    <t>SANDI</t>
  </si>
  <si>
    <t>JONATHAN</t>
  </si>
  <si>
    <t>AVILES</t>
  </si>
  <si>
    <t>JIMENEZ</t>
  </si>
  <si>
    <t>THAIRYN JOSEBETH</t>
  </si>
  <si>
    <t>CHAVES</t>
  </si>
  <si>
    <t>ALVAREZ</t>
  </si>
  <si>
    <t>DARLENE ARELIZ</t>
  </si>
  <si>
    <t>SALAZAR</t>
  </si>
  <si>
    <t>MAIDELYN ANDREINA</t>
  </si>
  <si>
    <t>DURAN</t>
  </si>
  <si>
    <t>VARGAS</t>
  </si>
  <si>
    <t>KEYLIN</t>
  </si>
  <si>
    <t>FONSECA</t>
  </si>
  <si>
    <t>CONCEPCION</t>
  </si>
  <si>
    <t>ANGELO DAVID</t>
  </si>
  <si>
    <t>GONZÁLEZ</t>
  </si>
  <si>
    <t>ZAPATA</t>
  </si>
  <si>
    <t>OBETH MARTÍN</t>
  </si>
  <si>
    <t>GUERRA</t>
  </si>
  <si>
    <t>CASTILLO</t>
  </si>
  <si>
    <t>AGUSTIN</t>
  </si>
  <si>
    <t>GUTIERREZ</t>
  </si>
  <si>
    <t>DUARTE</t>
  </si>
  <si>
    <t>ANGELO EFREN</t>
  </si>
  <si>
    <t>CRISOTO</t>
  </si>
  <si>
    <t>LUCIA</t>
  </si>
  <si>
    <t>TRAÑA</t>
  </si>
  <si>
    <t>AXSEL FRANCISCO</t>
  </si>
  <si>
    <t>MARTINEZ</t>
  </si>
  <si>
    <t>CRUZ</t>
  </si>
  <si>
    <t>YIRLANI DANIELA</t>
  </si>
  <si>
    <t>PORRAS</t>
  </si>
  <si>
    <t>TAYRA SOFIA</t>
  </si>
  <si>
    <t>MAZA</t>
  </si>
  <si>
    <t>BORBON</t>
  </si>
  <si>
    <t>ANYELO YAHIR</t>
  </si>
  <si>
    <t>FLORES</t>
  </si>
  <si>
    <t>KEINER ANDRES</t>
  </si>
  <si>
    <t>MORA</t>
  </si>
  <si>
    <t>NEITHAN GABRIEL</t>
  </si>
  <si>
    <t>MORALES</t>
  </si>
  <si>
    <t>RONALD YOPTIHEL</t>
  </si>
  <si>
    <t>PALACIOS</t>
  </si>
  <si>
    <t>VICTOR</t>
  </si>
  <si>
    <t>VILLEGAS</t>
  </si>
  <si>
    <t>JOSUE ESTEBAN</t>
  </si>
  <si>
    <t>PEREZ</t>
  </si>
  <si>
    <t>CORDERO</t>
  </si>
  <si>
    <t>BENYAMIN YAZID</t>
  </si>
  <si>
    <t>ANGEL RAFAEL</t>
  </si>
  <si>
    <t>PINZON</t>
  </si>
  <si>
    <t>JIRON</t>
  </si>
  <si>
    <t>SAMANTHA VANESSA</t>
  </si>
  <si>
    <t>QUESADA</t>
  </si>
  <si>
    <t>ABARCA</t>
  </si>
  <si>
    <t>ANDERSON STIP</t>
  </si>
  <si>
    <t>RODRIGUEZ</t>
  </si>
  <si>
    <t>MOYA</t>
  </si>
  <si>
    <t>SHELBY KYARA</t>
  </si>
  <si>
    <t>QUIROS</t>
  </si>
  <si>
    <t>BRENDA SOFIA</t>
  </si>
  <si>
    <t>SEGURA</t>
  </si>
  <si>
    <t>MUÑOZ</t>
  </si>
  <si>
    <t>MATEO</t>
  </si>
  <si>
    <t>SOTO</t>
  </si>
  <si>
    <t>MENA</t>
  </si>
  <si>
    <t>STACY IVON</t>
  </si>
  <si>
    <t>UREÑA</t>
  </si>
  <si>
    <t>NAZARETH MICKAELA</t>
  </si>
  <si>
    <t>ALLISON MARIEL</t>
  </si>
  <si>
    <t>VEGA</t>
  </si>
  <si>
    <t>CASCANTE</t>
  </si>
  <si>
    <t>JOSE PABLO</t>
  </si>
  <si>
    <t>VENADO</t>
  </si>
  <si>
    <t>SONDOYA</t>
  </si>
  <si>
    <t>YORIEL ESTEBAN</t>
  </si>
  <si>
    <t>VIQUEZ</t>
  </si>
  <si>
    <t>SANABRIA</t>
  </si>
  <si>
    <t>BRANDON YOSUE</t>
  </si>
  <si>
    <t>LOPEZ</t>
  </si>
  <si>
    <t xml:space="preserve">KEILYN NICOLE </t>
  </si>
  <si>
    <t>MONTEZUMA</t>
  </si>
  <si>
    <t>NEYA</t>
  </si>
  <si>
    <t>ZUÑIGA</t>
  </si>
  <si>
    <t>BUZANO</t>
  </si>
  <si>
    <t>ELIAZAR ISMAEL</t>
  </si>
  <si>
    <t>LISTADO DE ADECUACIONES CURRICULARES 2025.</t>
  </si>
  <si>
    <t>Cordero Mora Arlen Dariana</t>
  </si>
  <si>
    <t xml:space="preserve">Hipotiroidismo. Astigmatismo. Asma. Alopecia areata. Dermatitis atópica. Rinitis crónica.Trastorno de ansiedad. Antecedente pie bot. Tratamiento crónico. Puede realizar educación física, pero con adaptación a sus necesidades.  Madre de familia Emilia Mora Sánchez WhatsApp 83909679. </t>
  </si>
  <si>
    <r>
      <rPr>
        <sz val="11"/>
        <color rgb="FF000000"/>
        <rFont val="Arial"/>
        <family val="2"/>
      </rPr>
      <t xml:space="preserve">Arias Fernández Josué </t>
    </r>
    <r>
      <rPr>
        <sz val="11"/>
        <color rgb="FFFF0000"/>
        <rFont val="Arial"/>
        <family val="2"/>
      </rPr>
      <t>se trasladó</t>
    </r>
  </si>
  <si>
    <t>Niveles de funcionamiento: Inglés e inglés conversacional 5°, Español, Matemáticas, Ciencias y Francés 6°, y Estudios Sociales 7°.</t>
  </si>
  <si>
    <t>Avilés Vega Abigail Se trasladó</t>
  </si>
  <si>
    <t>605180511</t>
  </si>
  <si>
    <t>Nivel Funcionamiento:  Expediente no esta en la institución</t>
  </si>
  <si>
    <r>
      <rPr>
        <sz val="11"/>
        <color rgb="FF000000"/>
        <rFont val="Arial"/>
        <family val="2"/>
      </rPr>
      <t xml:space="preserve">Blanco López Leonardo Gabriel </t>
    </r>
    <r>
      <rPr>
        <sz val="11"/>
        <color rgb="FFFF0000"/>
        <rFont val="Arial"/>
        <family val="2"/>
      </rPr>
      <t>Se trasladó</t>
    </r>
  </si>
  <si>
    <t>120590168</t>
  </si>
  <si>
    <t xml:space="preserve">Nivel de funcionamiento: Inglés conversacional 6°,Ciencias, Matemáticas, Inglés 7°, Francés, Español, y Estudios Sociales 7° . </t>
  </si>
  <si>
    <t>Castillo Jiménez Dana Sofia Se trasladó</t>
  </si>
  <si>
    <t>605240675</t>
  </si>
  <si>
    <t>Nivel de Funcionamiento: Ciencias e inglés 6°, Matemáticas, inglés 7°, Francés y Cívica 8°, Matemáticas 7°, Español 9.</t>
  </si>
  <si>
    <r>
      <rPr>
        <sz val="11"/>
        <color rgb="FF000000"/>
        <rFont val="Arial"/>
        <family val="2"/>
      </rPr>
      <t>Córtes Gómez Eiden Matias</t>
    </r>
    <r>
      <rPr>
        <sz val="11"/>
        <color rgb="FFFF0000"/>
        <rFont val="Arial"/>
        <family val="2"/>
      </rPr>
      <t xml:space="preserve"> se trasladó</t>
    </r>
  </si>
  <si>
    <t xml:space="preserve">Nivel de funcionamiento Inglés Académico y conversacional 5°, Matemáticas, Ciencias, Estudios Sociales y Francés 6°, Español 7°. </t>
  </si>
  <si>
    <r>
      <rPr>
        <sz val="11"/>
        <color rgb="FF000000"/>
        <rFont val="Arial"/>
        <family val="2"/>
      </rPr>
      <t xml:space="preserve">Flores Blanco Deiner Duvan </t>
    </r>
    <r>
      <rPr>
        <sz val="11"/>
        <color rgb="FFFF0000"/>
        <rFont val="Arial"/>
        <family val="2"/>
      </rPr>
      <t>Desertó</t>
    </r>
  </si>
  <si>
    <t>Niveles de funcionamiento: español 6°, matemática 5°, ciencias 6°, estudios sociales 6°, inglés académico 5°, inglés conversacional 5°, francés 6°</t>
  </si>
  <si>
    <t>Dispacidad Intelectual</t>
  </si>
  <si>
    <r>
      <rPr>
        <sz val="11"/>
        <color rgb="FF000000"/>
        <rFont val="Arial"/>
        <family val="2"/>
      </rPr>
      <t xml:space="preserve">Hernádez Fernández Randy A. </t>
    </r>
    <r>
      <rPr>
        <sz val="11"/>
        <color rgb="FFFF0000"/>
        <rFont val="Arial"/>
        <family val="2"/>
      </rPr>
      <t>Se trasladó</t>
    </r>
  </si>
  <si>
    <r>
      <rPr>
        <sz val="11"/>
        <color rgb="FF000000"/>
        <rFont val="Arial"/>
        <family val="2"/>
      </rPr>
      <t xml:space="preserve">Hernández Valencia Yendry Nicole </t>
    </r>
    <r>
      <rPr>
        <sz val="11"/>
        <color rgb="FFFF0000"/>
        <rFont val="Arial"/>
        <family val="2"/>
      </rPr>
      <t>se trasladó</t>
    </r>
  </si>
  <si>
    <r>
      <rPr>
        <sz val="11"/>
        <color rgb="FF000000"/>
        <rFont val="Arial"/>
        <family val="2"/>
      </rPr>
      <t xml:space="preserve">Lorenzano Moraga Escaleth Viviana </t>
    </r>
    <r>
      <rPr>
        <sz val="11"/>
        <color rgb="FFFF0000"/>
        <rFont val="Arial"/>
        <family val="2"/>
      </rPr>
      <t>Desertó 2025</t>
    </r>
  </si>
  <si>
    <t>Nivel de funcionamiento 7°</t>
  </si>
  <si>
    <t>Monge Cruz Beyllanit Darine se trasladó</t>
  </si>
  <si>
    <t>Déficit atencional, epilepsia, medicada</t>
  </si>
  <si>
    <r>
      <rPr>
        <sz val="11"/>
        <color rgb="FF000000"/>
        <rFont val="Arial"/>
        <family val="2"/>
      </rPr>
      <t>Montoya Araúz Engel Samuel</t>
    </r>
    <r>
      <rPr>
        <sz val="11"/>
        <color rgb="FFFF0000"/>
        <rFont val="Arial"/>
        <family val="2"/>
      </rPr>
      <t xml:space="preserve"> Plan Nacional</t>
    </r>
  </si>
  <si>
    <t>8°</t>
  </si>
  <si>
    <t xml:space="preserve">Nivel de funcionamiento 1° </t>
  </si>
  <si>
    <t>Hacer observaciones avances y lectoescritura.</t>
  </si>
  <si>
    <r>
      <rPr>
        <sz val="11"/>
        <color rgb="FF000000"/>
        <rFont val="Arial"/>
        <family val="2"/>
      </rPr>
      <t xml:space="preserve">Palacios Ábregos Jorge Se </t>
    </r>
    <r>
      <rPr>
        <sz val="11"/>
        <color rgb="FFFF0000"/>
        <rFont val="Arial"/>
        <family val="2"/>
      </rPr>
      <t>trasladó</t>
    </r>
  </si>
  <si>
    <t>YR2023-06263</t>
  </si>
  <si>
    <t>Nivel de funcionamiento: Español 5°, Matemáticas 6° y Ciencias, Inglés, Estudios Sociales 7°.</t>
  </si>
  <si>
    <r>
      <rPr>
        <sz val="11"/>
        <color rgb="FF000000"/>
        <rFont val="Arial"/>
        <family val="2"/>
      </rPr>
      <t xml:space="preserve">Pinzon Moreno Alberto </t>
    </r>
    <r>
      <rPr>
        <sz val="11"/>
        <color rgb="FFFF0000"/>
        <rFont val="Arial"/>
        <family val="2"/>
      </rPr>
      <t>Traslado</t>
    </r>
  </si>
  <si>
    <t>Nivel de funcionamiento:Inglés y  Matemáticas 5°, Estudios Sociales, Francés, y Ciencias 6°, Cívica 7°</t>
  </si>
  <si>
    <r>
      <rPr>
        <sz val="11"/>
        <color rgb="FF000000"/>
        <rFont val="Arial"/>
        <family val="2"/>
      </rPr>
      <t xml:space="preserve">Vilchez Zúñiga Sebastían Alonso </t>
    </r>
    <r>
      <rPr>
        <sz val="11"/>
        <color rgb="FFFF0000"/>
        <rFont val="Arial"/>
        <family val="2"/>
      </rPr>
      <t>Se trasladó</t>
    </r>
  </si>
  <si>
    <t>Nivel de funcionamiento: Español 9°, Matemática 7°,Física 8°, Estudios Sociales 9°, Cívica 9°, Inglés 8°, Especialidad 10°</t>
  </si>
  <si>
    <t>Nivel de funcionamiento: Español 7°, Matematica 6°, Ciencias 5°, Estudios Sociales 7°, Cívica 7°, Inglés 6°, Especialidad 10°.</t>
  </si>
  <si>
    <t>Nivel de funcionamiento: Español 8°, Matemática 7°, Quimica 8°, Biología 8°, Estudios Sociales 9°, Cívica 8°, Inglés 7°, Especialidad 10°</t>
  </si>
  <si>
    <t>Nivel de Funcionamiento: Español 9°, Matemática 7°, Química 7°, Biología 7°, Estudios Sociales 9°, Cívica 8°, Inglés 7°, Especialidad 10°.</t>
  </si>
  <si>
    <t xml:space="preserve">Nivel de funcionamiento: Español 9°, Matemáticas,Química, Biología,  Estudios Sociales, Cívica, Física, Elementos de Gestión y Agronegocios 10°.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</si>
</sst>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34A85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/>
    <xf numFmtId="0" fontId="3" fillId="8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0" fontId="4" fillId="6" borderId="1" xfId="0" applyFont="1" applyFill="1" applyBorder="1"/>
    <xf numFmtId="0" fontId="2" fillId="5" borderId="2" xfId="0" applyFont="1" applyFill="1" applyBorder="1"/>
    <xf numFmtId="0" fontId="5" fillId="7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2" fillId="5" borderId="1" xfId="0" applyFont="1" applyFill="1" applyBorder="1"/>
    <xf numFmtId="0" fontId="4" fillId="7" borderId="1" xfId="0" applyFont="1" applyFill="1" applyBorder="1" applyAlignment="1">
      <alignment horizontal="center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center"/>
    </xf>
    <xf numFmtId="49" fontId="4" fillId="7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 applyAlignment="1">
      <alignment wrapText="1"/>
    </xf>
    <xf numFmtId="0" fontId="2" fillId="10" borderId="1" xfId="0" applyFont="1" applyFill="1" applyBorder="1"/>
    <xf numFmtId="49" fontId="2" fillId="3" borderId="1" xfId="0" applyNumberFormat="1" applyFont="1" applyFill="1" applyBorder="1"/>
    <xf numFmtId="0" fontId="4" fillId="5" borderId="1" xfId="0" applyFont="1" applyFill="1" applyBorder="1" applyAlignment="1">
      <alignment vertical="center"/>
    </xf>
    <xf numFmtId="0" fontId="7" fillId="2" borderId="2" xfId="0" applyFont="1" applyFill="1" applyBorder="1"/>
    <xf numFmtId="0" fontId="10" fillId="2" borderId="2" xfId="0" applyFont="1" applyFill="1" applyBorder="1"/>
    <xf numFmtId="0" fontId="2" fillId="0" borderId="0" xfId="0" applyFont="1" applyAlignment="1">
      <alignment horizontal="left"/>
    </xf>
    <xf numFmtId="0" fontId="10" fillId="2" borderId="1" xfId="0" applyFont="1" applyFill="1" applyBorder="1"/>
    <xf numFmtId="0" fontId="2" fillId="6" borderId="2" xfId="0" applyFont="1" applyFill="1" applyBorder="1" applyAlignment="1">
      <alignment vertical="center" wrapText="1"/>
    </xf>
    <xf numFmtId="0" fontId="2" fillId="6" borderId="0" xfId="0" applyFont="1" applyFill="1" applyAlignment="1">
      <alignment wrapText="1"/>
    </xf>
    <xf numFmtId="0" fontId="2" fillId="6" borderId="2" xfId="0" applyFont="1" applyFill="1" applyBorder="1" applyAlignment="1">
      <alignment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14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2" fillId="0" borderId="1" xfId="0" applyFont="1" applyBorder="1" applyAlignment="1">
      <alignment horizontal="center"/>
    </xf>
    <xf numFmtId="0" fontId="11" fillId="13" borderId="0" xfId="0" applyFont="1" applyFill="1" applyAlignment="1">
      <alignment vertical="center"/>
    </xf>
    <xf numFmtId="0" fontId="13" fillId="13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0" fontId="11" fillId="12" borderId="1" xfId="0" applyFont="1" applyFill="1" applyBorder="1" applyAlignment="1">
      <alignment vertical="center"/>
    </xf>
    <xf numFmtId="0" fontId="11" fillId="15" borderId="1" xfId="0" applyFont="1" applyFill="1" applyBorder="1" applyAlignment="1">
      <alignment vertical="center"/>
    </xf>
    <xf numFmtId="0" fontId="13" fillId="15" borderId="1" xfId="0" applyFont="1" applyFill="1" applyBorder="1" applyAlignment="1">
      <alignment vertical="center"/>
    </xf>
    <xf numFmtId="0" fontId="13" fillId="12" borderId="0" xfId="0" applyFont="1" applyFill="1" applyAlignment="1">
      <alignment vertical="center"/>
    </xf>
    <xf numFmtId="0" fontId="13" fillId="15" borderId="0" xfId="0" applyFont="1" applyFill="1" applyAlignment="1">
      <alignment vertical="center"/>
    </xf>
    <xf numFmtId="0" fontId="4" fillId="9" borderId="3" xfId="0" applyFont="1" applyFill="1" applyBorder="1" applyAlignment="1">
      <alignment horizontal="center"/>
    </xf>
    <xf numFmtId="0" fontId="5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vertical="center"/>
    </xf>
    <xf numFmtId="49" fontId="11" fillId="7" borderId="1" xfId="0" applyNumberFormat="1" applyFont="1" applyFill="1" applyBorder="1" applyAlignment="1">
      <alignment horizontal="center"/>
    </xf>
    <xf numFmtId="49" fontId="4" fillId="7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 wrapText="1"/>
    </xf>
    <xf numFmtId="0" fontId="4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/>
    <xf numFmtId="0" fontId="2" fillId="12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 wrapText="1"/>
    </xf>
    <xf numFmtId="0" fontId="2" fillId="16" borderId="1" xfId="0" applyFont="1" applyFill="1" applyBorder="1" applyAlignment="1">
      <alignment wrapText="1"/>
    </xf>
    <xf numFmtId="49" fontId="8" fillId="16" borderId="1" xfId="0" applyNumberFormat="1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vertical="center"/>
    </xf>
    <xf numFmtId="49" fontId="13" fillId="16" borderId="1" xfId="0" applyNumberFormat="1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vertical="center"/>
    </xf>
    <xf numFmtId="49" fontId="14" fillId="16" borderId="1" xfId="0" applyNumberFormat="1" applyFont="1" applyFill="1" applyBorder="1" applyAlignment="1">
      <alignment horizontal="center"/>
    </xf>
    <xf numFmtId="0" fontId="14" fillId="16" borderId="1" xfId="0" applyFont="1" applyFill="1" applyBorder="1"/>
    <xf numFmtId="0" fontId="8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/>
    </xf>
    <xf numFmtId="0" fontId="14" fillId="18" borderId="1" xfId="0" applyFont="1" applyFill="1" applyBorder="1"/>
    <xf numFmtId="49" fontId="14" fillId="18" borderId="1" xfId="0" applyNumberFormat="1" applyFont="1" applyFill="1" applyBorder="1" applyAlignment="1">
      <alignment horizontal="center"/>
    </xf>
    <xf numFmtId="0" fontId="2" fillId="18" borderId="1" xfId="0" applyFont="1" applyFill="1" applyBorder="1"/>
    <xf numFmtId="49" fontId="2" fillId="7" borderId="1" xfId="0" applyNumberFormat="1" applyFont="1" applyFill="1" applyBorder="1" applyAlignment="1">
      <alignment horizontal="center"/>
    </xf>
    <xf numFmtId="0" fontId="8" fillId="18" borderId="0" xfId="0" applyFont="1" applyFill="1" applyAlignment="1">
      <alignment horizontal="center" vertical="center"/>
    </xf>
    <xf numFmtId="0" fontId="3" fillId="17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 wrapText="1"/>
    </xf>
    <xf numFmtId="0" fontId="2" fillId="20" borderId="1" xfId="0" applyFont="1" applyFill="1" applyBorder="1" applyAlignment="1">
      <alignment horizontal="center" wrapText="1"/>
    </xf>
    <xf numFmtId="49" fontId="2" fillId="21" borderId="1" xfId="0" applyNumberFormat="1" applyFont="1" applyFill="1" applyBorder="1" applyAlignment="1">
      <alignment horizontal="center"/>
    </xf>
    <xf numFmtId="49" fontId="2" fillId="20" borderId="1" xfId="0" applyNumberFormat="1" applyFont="1" applyFill="1" applyBorder="1" applyAlignment="1">
      <alignment horizontal="center"/>
    </xf>
    <xf numFmtId="49" fontId="2" fillId="16" borderId="1" xfId="0" applyNumberFormat="1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49" fontId="2" fillId="22" borderId="1" xfId="0" applyNumberFormat="1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14" fillId="2" borderId="1" xfId="0" applyFont="1" applyFill="1" applyBorder="1"/>
    <xf numFmtId="49" fontId="14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2" fillId="19" borderId="2" xfId="0" applyFont="1" applyFill="1" applyBorder="1" applyAlignment="1">
      <alignment wrapText="1"/>
    </xf>
    <xf numFmtId="49" fontId="2" fillId="19" borderId="1" xfId="0" applyNumberFormat="1" applyFont="1" applyFill="1" applyBorder="1" applyAlignment="1">
      <alignment horizontal="center" wrapText="1"/>
    </xf>
    <xf numFmtId="0" fontId="2" fillId="19" borderId="1" xfId="0" applyFont="1" applyFill="1" applyBorder="1" applyAlignment="1">
      <alignment wrapText="1"/>
    </xf>
    <xf numFmtId="0" fontId="2" fillId="19" borderId="2" xfId="0" applyFont="1" applyFill="1" applyBorder="1"/>
    <xf numFmtId="0" fontId="2" fillId="18" borderId="2" xfId="0" applyFont="1" applyFill="1" applyBorder="1" applyAlignment="1">
      <alignment vertical="center"/>
    </xf>
    <xf numFmtId="49" fontId="2" fillId="18" borderId="1" xfId="0" applyNumberFormat="1" applyFont="1" applyFill="1" applyBorder="1" applyAlignment="1">
      <alignment horizontal="center" wrapText="1"/>
    </xf>
    <xf numFmtId="0" fontId="2" fillId="16" borderId="2" xfId="0" applyFont="1" applyFill="1" applyBorder="1" applyAlignment="1">
      <alignment vertical="center"/>
    </xf>
    <xf numFmtId="49" fontId="2" fillId="16" borderId="1" xfId="0" applyNumberFormat="1" applyFont="1" applyFill="1" applyBorder="1" applyAlignment="1">
      <alignment horizontal="center" wrapText="1"/>
    </xf>
    <xf numFmtId="0" fontId="2" fillId="16" borderId="1" xfId="0" applyFont="1" applyFill="1" applyBorder="1" applyAlignment="1">
      <alignment vertical="center"/>
    </xf>
    <xf numFmtId="0" fontId="2" fillId="20" borderId="0" xfId="0" applyFont="1" applyFill="1" applyAlignment="1">
      <alignment wrapText="1"/>
    </xf>
    <xf numFmtId="49" fontId="2" fillId="20" borderId="1" xfId="0" applyNumberFormat="1" applyFont="1" applyFill="1" applyBorder="1" applyAlignment="1">
      <alignment horizontal="center" wrapText="1"/>
    </xf>
    <xf numFmtId="0" fontId="2" fillId="20" borderId="1" xfId="0" applyFont="1" applyFill="1" applyBorder="1" applyAlignment="1">
      <alignment wrapText="1"/>
    </xf>
    <xf numFmtId="0" fontId="2" fillId="20" borderId="1" xfId="0" applyFont="1" applyFill="1" applyBorder="1"/>
    <xf numFmtId="0" fontId="2" fillId="16" borderId="2" xfId="0" applyFont="1" applyFill="1" applyBorder="1" applyAlignment="1">
      <alignment wrapText="1"/>
    </xf>
    <xf numFmtId="0" fontId="2" fillId="16" borderId="2" xfId="0" applyFont="1" applyFill="1" applyBorder="1"/>
    <xf numFmtId="0" fontId="2" fillId="19" borderId="1" xfId="0" applyFont="1" applyFill="1" applyBorder="1"/>
    <xf numFmtId="0" fontId="2" fillId="21" borderId="0" xfId="0" applyFont="1" applyFill="1" applyAlignment="1">
      <alignment vertical="center"/>
    </xf>
    <xf numFmtId="0" fontId="2" fillId="21" borderId="1" xfId="0" applyFont="1" applyFill="1" applyBorder="1" applyAlignment="1">
      <alignment wrapText="1"/>
    </xf>
    <xf numFmtId="0" fontId="2" fillId="21" borderId="1" xfId="0" applyFont="1" applyFill="1" applyBorder="1"/>
    <xf numFmtId="0" fontId="2" fillId="16" borderId="2" xfId="0" applyFont="1" applyFill="1" applyBorder="1" applyAlignment="1">
      <alignment vertical="center" wrapText="1"/>
    </xf>
    <xf numFmtId="0" fontId="2" fillId="18" borderId="2" xfId="0" applyFont="1" applyFill="1" applyBorder="1"/>
    <xf numFmtId="0" fontId="2" fillId="18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wrapText="1"/>
    </xf>
    <xf numFmtId="0" fontId="2" fillId="20" borderId="2" xfId="0" applyFont="1" applyFill="1" applyBorder="1"/>
    <xf numFmtId="0" fontId="2" fillId="18" borderId="0" xfId="0" applyFont="1" applyFill="1"/>
    <xf numFmtId="0" fontId="2" fillId="21" borderId="2" xfId="0" applyFont="1" applyFill="1" applyBorder="1"/>
    <xf numFmtId="0" fontId="8" fillId="16" borderId="1" xfId="0" applyFont="1" applyFill="1" applyBorder="1" applyAlignment="1">
      <alignment wrapText="1"/>
    </xf>
    <xf numFmtId="0" fontId="2" fillId="22" borderId="2" xfId="0" applyFont="1" applyFill="1" applyBorder="1"/>
    <xf numFmtId="0" fontId="2" fillId="22" borderId="1" xfId="0" applyFont="1" applyFill="1" applyBorder="1" applyAlignment="1">
      <alignment wrapText="1"/>
    </xf>
    <xf numFmtId="0" fontId="2" fillId="22" borderId="1" xfId="0" applyFont="1" applyFill="1" applyBorder="1"/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1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8F30-1DEF-4E7C-A5F2-B34E61C5B8D1}">
  <dimension ref="A1:H54"/>
  <sheetViews>
    <sheetView tabSelected="1" topLeftCell="A4" workbookViewId="0">
      <selection activeCell="E23" sqref="E23"/>
    </sheetView>
  </sheetViews>
  <sheetFormatPr baseColWidth="10" defaultColWidth="11.375" defaultRowHeight="14.25"/>
  <cols>
    <col min="1" max="1" width="5.875" style="1" customWidth="1"/>
    <col min="2" max="2" width="34.75" style="1" customWidth="1"/>
    <col min="3" max="3" width="11.375" style="1" customWidth="1"/>
    <col min="4" max="5" width="15.875" style="1" customWidth="1"/>
    <col min="6" max="6" width="69.125" style="1" customWidth="1"/>
    <col min="7" max="7" width="45.375" style="1" customWidth="1"/>
    <col min="8" max="16384" width="11.375" style="1"/>
  </cols>
  <sheetData>
    <row r="1" spans="1:8" ht="15">
      <c r="B1" s="140" t="s">
        <v>0</v>
      </c>
      <c r="C1" s="140"/>
      <c r="D1" s="140"/>
      <c r="E1" s="140"/>
      <c r="F1" s="140"/>
      <c r="G1" s="140"/>
    </row>
    <row r="2" spans="1:8">
      <c r="B2" s="141" t="s">
        <v>1</v>
      </c>
      <c r="C2" s="141"/>
      <c r="D2" s="141"/>
      <c r="E2" s="141"/>
      <c r="F2" s="141"/>
      <c r="G2" s="141"/>
    </row>
    <row r="6" spans="1:8" ht="15">
      <c r="A6" s="105"/>
      <c r="B6" s="106" t="s">
        <v>2</v>
      </c>
      <c r="C6" s="86" t="s">
        <v>3</v>
      </c>
      <c r="D6" s="86" t="s">
        <v>4</v>
      </c>
      <c r="E6" s="86" t="s">
        <v>5</v>
      </c>
      <c r="F6" s="86" t="s">
        <v>6</v>
      </c>
      <c r="G6" s="86" t="s">
        <v>7</v>
      </c>
    </row>
    <row r="7" spans="1:8" ht="28.5">
      <c r="A7" s="68">
        <v>1</v>
      </c>
      <c r="B7" s="107" t="s">
        <v>8</v>
      </c>
      <c r="C7" s="108" t="s">
        <v>9</v>
      </c>
      <c r="D7" s="87">
        <v>605260493</v>
      </c>
      <c r="E7" s="87" t="s">
        <v>10</v>
      </c>
      <c r="F7" s="109" t="s">
        <v>11</v>
      </c>
      <c r="G7" s="110" t="s">
        <v>12</v>
      </c>
    </row>
    <row r="8" spans="1:8">
      <c r="A8" s="68">
        <v>2</v>
      </c>
      <c r="B8" s="111" t="s">
        <v>13</v>
      </c>
      <c r="C8" s="112" t="s">
        <v>14</v>
      </c>
      <c r="D8" s="79">
        <v>605290200</v>
      </c>
      <c r="E8" s="79" t="s">
        <v>10</v>
      </c>
      <c r="F8" s="83" t="s">
        <v>15</v>
      </c>
      <c r="G8" s="83" t="s">
        <v>16</v>
      </c>
    </row>
    <row r="9" spans="1:8">
      <c r="A9" s="68">
        <v>3</v>
      </c>
      <c r="B9" s="113" t="s">
        <v>17</v>
      </c>
      <c r="C9" s="114" t="s">
        <v>18</v>
      </c>
      <c r="D9" s="69">
        <v>305980180</v>
      </c>
      <c r="E9" s="69" t="s">
        <v>10</v>
      </c>
      <c r="F9" s="115" t="s">
        <v>19</v>
      </c>
      <c r="G9" s="67" t="s">
        <v>20</v>
      </c>
      <c r="H9" s="1" t="s">
        <v>21</v>
      </c>
    </row>
    <row r="10" spans="1:8" ht="28.5">
      <c r="A10" s="68">
        <v>4</v>
      </c>
      <c r="B10" s="116" t="s">
        <v>22</v>
      </c>
      <c r="C10" s="117" t="s">
        <v>23</v>
      </c>
      <c r="D10" s="88">
        <v>120440498</v>
      </c>
      <c r="E10" s="88" t="s">
        <v>10</v>
      </c>
      <c r="F10" s="118" t="s">
        <v>337</v>
      </c>
      <c r="G10" s="119" t="s">
        <v>12</v>
      </c>
    </row>
    <row r="11" spans="1:8">
      <c r="A11" s="68">
        <v>5</v>
      </c>
      <c r="B11" s="120" t="s">
        <v>24</v>
      </c>
      <c r="C11" s="114" t="s">
        <v>25</v>
      </c>
      <c r="D11" s="69">
        <v>605400822</v>
      </c>
      <c r="E11" s="69" t="s">
        <v>26</v>
      </c>
      <c r="F11" s="67" t="s">
        <v>19</v>
      </c>
      <c r="G11" s="115" t="s">
        <v>27</v>
      </c>
      <c r="H11" s="1" t="s">
        <v>21</v>
      </c>
    </row>
    <row r="12" spans="1:8" ht="57">
      <c r="A12" s="68">
        <v>6</v>
      </c>
      <c r="B12" s="121" t="s">
        <v>28</v>
      </c>
      <c r="C12" s="114" t="s">
        <v>25</v>
      </c>
      <c r="D12" s="70">
        <v>121510987</v>
      </c>
      <c r="E12" s="70" t="s">
        <v>10</v>
      </c>
      <c r="F12" s="67" t="s">
        <v>29</v>
      </c>
      <c r="G12" s="72" t="s">
        <v>30</v>
      </c>
      <c r="H12" s="1" t="s">
        <v>21</v>
      </c>
    </row>
    <row r="13" spans="1:8" ht="28.5">
      <c r="A13" s="68">
        <v>7</v>
      </c>
      <c r="B13" s="109" t="s">
        <v>31</v>
      </c>
      <c r="C13" s="108" t="s">
        <v>114</v>
      </c>
      <c r="D13" s="87">
        <v>605330091</v>
      </c>
      <c r="E13" s="87" t="s">
        <v>26</v>
      </c>
      <c r="F13" s="109" t="s">
        <v>33</v>
      </c>
      <c r="G13" s="122" t="s">
        <v>12</v>
      </c>
    </row>
    <row r="14" spans="1:8" ht="28.5">
      <c r="A14" s="68">
        <v>8</v>
      </c>
      <c r="B14" s="123" t="s">
        <v>34</v>
      </c>
      <c r="C14" s="89" t="s">
        <v>35</v>
      </c>
      <c r="D14" s="89" t="s">
        <v>36</v>
      </c>
      <c r="E14" s="89" t="s">
        <v>10</v>
      </c>
      <c r="F14" s="124" t="s">
        <v>338</v>
      </c>
      <c r="G14" s="125" t="s">
        <v>12</v>
      </c>
    </row>
    <row r="15" spans="1:8" ht="42.75">
      <c r="A15" s="68">
        <v>9</v>
      </c>
      <c r="B15" s="126" t="s">
        <v>37</v>
      </c>
      <c r="C15" s="114" t="s">
        <v>25</v>
      </c>
      <c r="D15" s="71">
        <v>121190969</v>
      </c>
      <c r="E15" s="71" t="s">
        <v>10</v>
      </c>
      <c r="F15" s="67" t="s">
        <v>38</v>
      </c>
      <c r="G15" s="72" t="s">
        <v>39</v>
      </c>
      <c r="H15" s="1" t="s">
        <v>21</v>
      </c>
    </row>
    <row r="16" spans="1:8">
      <c r="A16" s="68">
        <v>10</v>
      </c>
      <c r="B16" s="127" t="s">
        <v>40</v>
      </c>
      <c r="C16" s="112" t="s">
        <v>41</v>
      </c>
      <c r="D16" s="80">
        <v>605360677</v>
      </c>
      <c r="E16" s="80" t="s">
        <v>10</v>
      </c>
      <c r="F16" s="83" t="s">
        <v>42</v>
      </c>
      <c r="G16" s="83" t="s">
        <v>43</v>
      </c>
    </row>
    <row r="17" spans="1:8">
      <c r="A17" s="68">
        <v>11</v>
      </c>
      <c r="B17" s="111" t="s">
        <v>44</v>
      </c>
      <c r="C17" s="112" t="s">
        <v>14</v>
      </c>
      <c r="D17" s="79">
        <v>605390382</v>
      </c>
      <c r="E17" s="79" t="s">
        <v>26</v>
      </c>
      <c r="F17" s="128" t="s">
        <v>19</v>
      </c>
      <c r="G17" s="83" t="s">
        <v>45</v>
      </c>
    </row>
    <row r="18" spans="1:8" ht="28.5">
      <c r="A18" s="68">
        <v>12</v>
      </c>
      <c r="B18" s="107" t="s">
        <v>46</v>
      </c>
      <c r="C18" s="108" t="s">
        <v>9</v>
      </c>
      <c r="D18" s="87">
        <v>605350923</v>
      </c>
      <c r="E18" s="87" t="s">
        <v>10</v>
      </c>
      <c r="F18" s="109" t="s">
        <v>47</v>
      </c>
      <c r="G18" s="122" t="s">
        <v>12</v>
      </c>
    </row>
    <row r="19" spans="1:8">
      <c r="A19" s="68">
        <v>13</v>
      </c>
      <c r="B19" s="107" t="s">
        <v>48</v>
      </c>
      <c r="C19" s="108" t="s">
        <v>49</v>
      </c>
      <c r="D19" s="87">
        <v>605230219</v>
      </c>
      <c r="E19" s="87" t="s">
        <v>26</v>
      </c>
      <c r="F19" s="122" t="s">
        <v>50</v>
      </c>
      <c r="G19" s="122" t="s">
        <v>12</v>
      </c>
    </row>
    <row r="20" spans="1:8" ht="28.5">
      <c r="A20" s="68">
        <v>14</v>
      </c>
      <c r="B20" s="127" t="s">
        <v>51</v>
      </c>
      <c r="C20" s="112" t="s">
        <v>52</v>
      </c>
      <c r="D20" s="80">
        <v>605260597</v>
      </c>
      <c r="E20" s="80" t="s">
        <v>26</v>
      </c>
      <c r="F20" s="83" t="s">
        <v>53</v>
      </c>
      <c r="G20" s="129" t="s">
        <v>54</v>
      </c>
    </row>
    <row r="21" spans="1:8" ht="28.5">
      <c r="A21" s="68">
        <v>15</v>
      </c>
      <c r="B21" s="130" t="s">
        <v>55</v>
      </c>
      <c r="C21" s="90" t="s">
        <v>23</v>
      </c>
      <c r="D21" s="90" t="s">
        <v>56</v>
      </c>
      <c r="E21" s="90" t="s">
        <v>10</v>
      </c>
      <c r="F21" s="118" t="s">
        <v>336</v>
      </c>
      <c r="G21" s="119" t="s">
        <v>57</v>
      </c>
    </row>
    <row r="22" spans="1:8">
      <c r="A22" s="68">
        <v>16</v>
      </c>
      <c r="B22" s="111" t="s">
        <v>58</v>
      </c>
      <c r="C22" s="112" t="s">
        <v>14</v>
      </c>
      <c r="D22" s="79">
        <v>124010122</v>
      </c>
      <c r="E22" s="85" t="s">
        <v>10</v>
      </c>
      <c r="F22" s="131" t="s">
        <v>59</v>
      </c>
      <c r="G22" s="83" t="s">
        <v>60</v>
      </c>
    </row>
    <row r="23" spans="1:8" ht="28.5">
      <c r="A23" s="68">
        <v>17</v>
      </c>
      <c r="B23" s="132" t="s">
        <v>61</v>
      </c>
      <c r="C23" s="89" t="s">
        <v>62</v>
      </c>
      <c r="D23" s="89" t="s">
        <v>63</v>
      </c>
      <c r="E23" s="89" t="s">
        <v>26</v>
      </c>
      <c r="F23" s="124" t="s">
        <v>339</v>
      </c>
      <c r="G23" s="125" t="s">
        <v>12</v>
      </c>
    </row>
    <row r="24" spans="1:8" ht="28.5">
      <c r="A24" s="68">
        <v>18</v>
      </c>
      <c r="B24" s="132" t="s">
        <v>64</v>
      </c>
      <c r="C24" s="89" t="s">
        <v>62</v>
      </c>
      <c r="D24" s="89" t="s">
        <v>65</v>
      </c>
      <c r="E24" s="89" t="s">
        <v>26</v>
      </c>
      <c r="F24" s="124" t="s">
        <v>339</v>
      </c>
      <c r="G24" s="125" t="s">
        <v>12</v>
      </c>
    </row>
    <row r="25" spans="1:8">
      <c r="A25" s="68">
        <v>19</v>
      </c>
      <c r="B25" s="121" t="s">
        <v>66</v>
      </c>
      <c r="C25" s="91" t="s">
        <v>67</v>
      </c>
      <c r="D25" s="91" t="s">
        <v>68</v>
      </c>
      <c r="E25" s="91" t="s">
        <v>26</v>
      </c>
      <c r="F25" s="72" t="s">
        <v>69</v>
      </c>
      <c r="G25" s="67" t="s">
        <v>12</v>
      </c>
    </row>
    <row r="26" spans="1:8" ht="29.25">
      <c r="A26" s="68">
        <v>20</v>
      </c>
      <c r="B26" s="121" t="s">
        <v>70</v>
      </c>
      <c r="C26" s="114" t="s">
        <v>71</v>
      </c>
      <c r="D26" s="73" t="s">
        <v>72</v>
      </c>
      <c r="E26" s="73" t="s">
        <v>26</v>
      </c>
      <c r="F26" s="67" t="s">
        <v>73</v>
      </c>
      <c r="G26" s="133" t="s">
        <v>74</v>
      </c>
      <c r="H26" s="1" t="s">
        <v>21</v>
      </c>
    </row>
    <row r="27" spans="1:8">
      <c r="A27" s="68">
        <v>21</v>
      </c>
      <c r="B27" s="111" t="s">
        <v>75</v>
      </c>
      <c r="C27" s="112" t="s">
        <v>76</v>
      </c>
      <c r="D27" s="92">
        <v>605360674</v>
      </c>
      <c r="E27" s="92" t="s">
        <v>26</v>
      </c>
      <c r="F27" s="83" t="s">
        <v>77</v>
      </c>
      <c r="G27" s="83" t="s">
        <v>78</v>
      </c>
    </row>
    <row r="28" spans="1:8" ht="27" customHeight="1">
      <c r="A28" s="68">
        <v>22</v>
      </c>
      <c r="B28" s="134" t="s">
        <v>79</v>
      </c>
      <c r="C28" s="93" t="s">
        <v>80</v>
      </c>
      <c r="D28" s="93" t="s">
        <v>81</v>
      </c>
      <c r="E28" s="93" t="s">
        <v>26</v>
      </c>
      <c r="F28" s="135" t="s">
        <v>340</v>
      </c>
      <c r="G28" s="136" t="s">
        <v>12</v>
      </c>
    </row>
    <row r="29" spans="1:8">
      <c r="A29" s="68">
        <v>23</v>
      </c>
      <c r="B29" s="121" t="s">
        <v>82</v>
      </c>
      <c r="C29" s="91" t="s">
        <v>25</v>
      </c>
      <c r="D29" s="91"/>
      <c r="E29" s="91" t="s">
        <v>26</v>
      </c>
      <c r="F29" s="67" t="s">
        <v>83</v>
      </c>
      <c r="G29" s="67" t="s">
        <v>60</v>
      </c>
    </row>
    <row r="30" spans="1:8">
      <c r="A30" s="68">
        <v>24</v>
      </c>
      <c r="B30" s="121" t="s">
        <v>84</v>
      </c>
      <c r="C30" s="91" t="s">
        <v>67</v>
      </c>
      <c r="D30" s="91"/>
      <c r="E30" s="91" t="s">
        <v>26</v>
      </c>
      <c r="F30" s="67" t="s">
        <v>83</v>
      </c>
      <c r="G30" s="67" t="s">
        <v>85</v>
      </c>
    </row>
    <row r="31" spans="1:8">
      <c r="A31" s="68">
        <v>25</v>
      </c>
      <c r="B31" s="121" t="s">
        <v>86</v>
      </c>
      <c r="C31" s="91" t="s">
        <v>87</v>
      </c>
      <c r="D31" s="91"/>
      <c r="E31" s="91" t="s">
        <v>10</v>
      </c>
      <c r="F31" s="67" t="s">
        <v>83</v>
      </c>
      <c r="G31" s="67" t="s">
        <v>88</v>
      </c>
    </row>
    <row r="32" spans="1:8">
      <c r="A32" s="68">
        <v>26</v>
      </c>
      <c r="B32" s="121" t="s">
        <v>89</v>
      </c>
      <c r="C32" s="91" t="s">
        <v>25</v>
      </c>
      <c r="D32" s="91"/>
      <c r="E32" s="91" t="s">
        <v>26</v>
      </c>
      <c r="F32" s="67" t="s">
        <v>90</v>
      </c>
      <c r="G32" s="67"/>
    </row>
    <row r="33" spans="1:7">
      <c r="A33" s="68">
        <v>27</v>
      </c>
      <c r="B33" s="121" t="s">
        <v>91</v>
      </c>
      <c r="C33" s="91" t="s">
        <v>25</v>
      </c>
      <c r="D33" s="91"/>
      <c r="E33" s="91" t="s">
        <v>10</v>
      </c>
      <c r="F33" s="67" t="s">
        <v>83</v>
      </c>
      <c r="G33" s="67" t="s">
        <v>88</v>
      </c>
    </row>
    <row r="34" spans="1:7">
      <c r="A34" s="47">
        <v>28</v>
      </c>
      <c r="B34" s="74" t="s">
        <v>93</v>
      </c>
      <c r="C34" s="75" t="s">
        <v>71</v>
      </c>
      <c r="D34" s="76"/>
      <c r="E34" s="94" t="s">
        <v>26</v>
      </c>
      <c r="F34" s="67" t="s">
        <v>92</v>
      </c>
      <c r="G34" s="67" t="s">
        <v>88</v>
      </c>
    </row>
    <row r="35" spans="1:7">
      <c r="A35" s="47">
        <v>29</v>
      </c>
      <c r="B35" s="74" t="s">
        <v>94</v>
      </c>
      <c r="C35" s="77" t="s">
        <v>18</v>
      </c>
      <c r="D35" s="67"/>
      <c r="E35" s="95" t="s">
        <v>26</v>
      </c>
      <c r="F35" s="67" t="s">
        <v>92</v>
      </c>
      <c r="G35" s="67" t="s">
        <v>95</v>
      </c>
    </row>
    <row r="36" spans="1:7">
      <c r="A36" s="47">
        <v>30</v>
      </c>
      <c r="B36" s="74" t="s">
        <v>96</v>
      </c>
      <c r="C36" s="77" t="s">
        <v>97</v>
      </c>
      <c r="D36" s="67"/>
      <c r="E36" s="95" t="s">
        <v>26</v>
      </c>
      <c r="F36" s="67" t="s">
        <v>92</v>
      </c>
      <c r="G36" s="67" t="s">
        <v>98</v>
      </c>
    </row>
    <row r="37" spans="1:7">
      <c r="A37" s="47">
        <v>31</v>
      </c>
      <c r="B37" s="74" t="s">
        <v>99</v>
      </c>
      <c r="C37" s="77" t="s">
        <v>18</v>
      </c>
      <c r="D37" s="67"/>
      <c r="E37" s="95" t="s">
        <v>10</v>
      </c>
      <c r="F37" s="67" t="s">
        <v>53</v>
      </c>
      <c r="G37" s="67" t="s">
        <v>88</v>
      </c>
    </row>
    <row r="38" spans="1:7">
      <c r="A38" s="47">
        <v>32</v>
      </c>
      <c r="B38" s="78" t="s">
        <v>100</v>
      </c>
      <c r="C38" s="77" t="s">
        <v>25</v>
      </c>
      <c r="D38" s="67"/>
      <c r="E38" s="95" t="s">
        <v>10</v>
      </c>
      <c r="F38" s="67" t="s">
        <v>83</v>
      </c>
      <c r="G38" s="67" t="s">
        <v>88</v>
      </c>
    </row>
    <row r="39" spans="1:7">
      <c r="A39" s="47">
        <v>33</v>
      </c>
      <c r="B39" s="78" t="s">
        <v>101</v>
      </c>
      <c r="C39" s="77" t="s">
        <v>67</v>
      </c>
      <c r="D39" s="67"/>
      <c r="E39" s="95" t="s">
        <v>26</v>
      </c>
      <c r="F39" s="67" t="s">
        <v>102</v>
      </c>
      <c r="G39" s="67" t="s">
        <v>88</v>
      </c>
    </row>
    <row r="40" spans="1:7">
      <c r="A40" s="47">
        <v>34</v>
      </c>
      <c r="B40" s="78" t="s">
        <v>103</v>
      </c>
      <c r="C40" s="77" t="s">
        <v>25</v>
      </c>
      <c r="D40" s="67"/>
      <c r="E40" s="95" t="s">
        <v>10</v>
      </c>
      <c r="F40" s="67" t="s">
        <v>102</v>
      </c>
      <c r="G40" s="67" t="s">
        <v>88</v>
      </c>
    </row>
    <row r="41" spans="1:7">
      <c r="A41" s="47">
        <v>35</v>
      </c>
      <c r="B41" s="78" t="s">
        <v>104</v>
      </c>
      <c r="C41" s="77" t="s">
        <v>97</v>
      </c>
      <c r="D41" s="67"/>
      <c r="E41" s="95" t="s">
        <v>10</v>
      </c>
      <c r="F41" s="67" t="s">
        <v>105</v>
      </c>
      <c r="G41" s="67" t="s">
        <v>88</v>
      </c>
    </row>
    <row r="42" spans="1:7">
      <c r="A42" s="47">
        <v>36</v>
      </c>
      <c r="B42" s="81" t="s">
        <v>106</v>
      </c>
      <c r="C42" s="82" t="s">
        <v>14</v>
      </c>
      <c r="D42" s="83"/>
      <c r="E42" s="96" t="s">
        <v>26</v>
      </c>
      <c r="F42" s="83" t="s">
        <v>107</v>
      </c>
      <c r="G42" s="83" t="s">
        <v>108</v>
      </c>
    </row>
    <row r="43" spans="1:7">
      <c r="A43" s="47">
        <v>37</v>
      </c>
      <c r="B43" s="102" t="s">
        <v>109</v>
      </c>
      <c r="C43" s="103" t="s">
        <v>71</v>
      </c>
      <c r="D43" s="99">
        <v>121450578</v>
      </c>
      <c r="E43" s="104" t="s">
        <v>26</v>
      </c>
      <c r="F43" s="30" t="s">
        <v>90</v>
      </c>
      <c r="G43" s="30" t="s">
        <v>12</v>
      </c>
    </row>
    <row r="44" spans="1:7">
      <c r="A44" s="20">
        <v>38</v>
      </c>
      <c r="B44" s="46"/>
      <c r="C44" s="45"/>
      <c r="D44" s="47"/>
      <c r="E44" s="20"/>
      <c r="F44" s="20"/>
      <c r="G44" s="20"/>
    </row>
    <row r="45" spans="1:7">
      <c r="A45" s="20"/>
      <c r="B45" s="46"/>
      <c r="C45" s="45"/>
      <c r="D45" s="47"/>
      <c r="E45" s="20"/>
      <c r="F45" s="20"/>
      <c r="G45" s="20"/>
    </row>
    <row r="46" spans="1:7">
      <c r="A46" s="20"/>
      <c r="B46" s="46"/>
      <c r="C46" s="45"/>
      <c r="D46" s="47"/>
      <c r="E46" s="20"/>
      <c r="F46" s="20"/>
      <c r="G46" s="20"/>
    </row>
    <row r="47" spans="1:7">
      <c r="A47" s="20"/>
      <c r="B47" s="46"/>
      <c r="C47" s="45"/>
      <c r="D47" s="47"/>
      <c r="E47" s="20"/>
      <c r="F47" s="20"/>
      <c r="G47" s="20"/>
    </row>
    <row r="48" spans="1:7">
      <c r="A48" s="20"/>
      <c r="B48" s="46"/>
      <c r="C48" s="45"/>
      <c r="D48" s="47"/>
      <c r="E48" s="20"/>
      <c r="F48" s="20"/>
      <c r="G48" s="20"/>
    </row>
    <row r="49" spans="1:7">
      <c r="A49" s="20"/>
      <c r="B49" s="46"/>
      <c r="C49" s="45"/>
      <c r="D49" s="47"/>
      <c r="E49" s="20"/>
      <c r="F49" s="20"/>
      <c r="G49" s="20"/>
    </row>
    <row r="50" spans="1:7">
      <c r="A50" s="20"/>
      <c r="B50" s="46"/>
      <c r="C50" s="45"/>
      <c r="D50" s="47"/>
      <c r="E50" s="20"/>
      <c r="F50" s="20"/>
      <c r="G50" s="20"/>
    </row>
    <row r="51" spans="1:7">
      <c r="A51" s="20"/>
      <c r="B51" s="46"/>
      <c r="C51" s="45"/>
      <c r="D51" s="47"/>
      <c r="E51" s="20"/>
      <c r="F51" s="20"/>
      <c r="G51" s="20"/>
    </row>
    <row r="52" spans="1:7">
      <c r="A52" s="20"/>
      <c r="B52" s="46"/>
      <c r="C52" s="45"/>
      <c r="D52" s="47"/>
      <c r="E52" s="20"/>
      <c r="F52" s="20"/>
      <c r="G52" s="20"/>
    </row>
    <row r="53" spans="1:7">
      <c r="A53" s="20"/>
      <c r="B53" s="46"/>
      <c r="C53" s="45"/>
      <c r="D53" s="47"/>
      <c r="E53" s="20"/>
      <c r="F53" s="20"/>
      <c r="G53" s="20"/>
    </row>
    <row r="54" spans="1:7">
      <c r="A54" s="20"/>
      <c r="B54" s="46"/>
      <c r="C54" s="45"/>
      <c r="D54" s="47"/>
      <c r="E54" s="20"/>
      <c r="F54" s="20"/>
      <c r="G54" s="20"/>
    </row>
  </sheetData>
  <autoFilter ref="A6:G44" xr:uid="{478D8F30-1DEF-4E7C-A5F2-B34E61C5B8D1}">
    <sortState ref="A7:G9">
      <sortCondition ref="B6"/>
    </sortState>
  </autoFilter>
  <mergeCells count="2">
    <mergeCell ref="B1:G1"/>
    <mergeCell ref="B2:G2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38BA-4EDB-4B58-B46A-A5A7847CD75B}">
  <dimension ref="A1:I117"/>
  <sheetViews>
    <sheetView topLeftCell="A84" workbookViewId="0">
      <selection activeCell="F108" sqref="F108"/>
    </sheetView>
  </sheetViews>
  <sheetFormatPr baseColWidth="10" defaultColWidth="11.375" defaultRowHeight="14.25" customHeight="1"/>
  <cols>
    <col min="1" max="1" width="5.875" style="1" customWidth="1"/>
    <col min="2" max="2" width="39.875" style="38" customWidth="1"/>
    <col min="3" max="3" width="12" style="1" customWidth="1"/>
    <col min="4" max="4" width="17" style="1" customWidth="1"/>
    <col min="5" max="5" width="11.625" style="1" customWidth="1"/>
    <col min="6" max="6" width="62.625" style="1" customWidth="1"/>
    <col min="7" max="7" width="15.625" style="1" customWidth="1"/>
    <col min="8" max="8" width="17.125" style="1" customWidth="1"/>
    <col min="9" max="9" width="21" style="1" customWidth="1"/>
    <col min="10" max="16384" width="11.375" style="1"/>
  </cols>
  <sheetData>
    <row r="1" spans="1:6" ht="15">
      <c r="B1" s="140" t="s">
        <v>0</v>
      </c>
      <c r="C1" s="140"/>
      <c r="D1" s="140"/>
      <c r="E1" s="140"/>
      <c r="F1" s="140"/>
    </row>
    <row r="2" spans="1:6">
      <c r="B2" s="141" t="s">
        <v>1</v>
      </c>
      <c r="C2" s="141"/>
      <c r="D2" s="141"/>
      <c r="E2" s="141"/>
      <c r="F2" s="141"/>
    </row>
    <row r="6" spans="1:6" ht="15">
      <c r="A6" s="20"/>
      <c r="B6" s="21" t="s">
        <v>2</v>
      </c>
      <c r="C6" s="4" t="s">
        <v>3</v>
      </c>
      <c r="D6" s="22" t="s">
        <v>4</v>
      </c>
      <c r="E6" s="22" t="s">
        <v>110</v>
      </c>
      <c r="F6" s="63" t="s">
        <v>7</v>
      </c>
    </row>
    <row r="7" spans="1:6" ht="15">
      <c r="A7" s="23">
        <v>1</v>
      </c>
      <c r="B7" s="57" t="str">
        <f>UPPER(Hoja1!A2&amp;" "&amp;Hoja1!B2&amp;" "&amp;Hoja1!C2)</f>
        <v>ABREGO . WALTER</v>
      </c>
      <c r="C7" s="61" t="s">
        <v>25</v>
      </c>
      <c r="D7" s="52"/>
      <c r="E7" s="20"/>
      <c r="F7" s="64" t="s">
        <v>111</v>
      </c>
    </row>
    <row r="8" spans="1:6" ht="15">
      <c r="A8" s="23">
        <v>2</v>
      </c>
      <c r="B8" s="57" t="str">
        <f>UPPER(Hoja1!A3&amp;" "&amp;Hoja1!B3&amp;" "&amp;Hoja1!C3)</f>
        <v>ABREGO MIRANDA HERIBERTO JORGE</v>
      </c>
      <c r="C8" s="61" t="s">
        <v>112</v>
      </c>
      <c r="D8" s="52"/>
      <c r="E8" s="20"/>
      <c r="F8" s="64" t="s">
        <v>111</v>
      </c>
    </row>
    <row r="9" spans="1:6" ht="15">
      <c r="A9" s="23">
        <v>3</v>
      </c>
      <c r="B9" s="58" t="s">
        <v>113</v>
      </c>
      <c r="C9" s="18" t="s">
        <v>114</v>
      </c>
      <c r="D9" s="24">
        <v>605320280</v>
      </c>
      <c r="E9" s="24"/>
      <c r="F9" s="65" t="s">
        <v>115</v>
      </c>
    </row>
    <row r="10" spans="1:6" ht="30" customHeight="1">
      <c r="A10" s="23">
        <v>4</v>
      </c>
      <c r="B10" s="57" t="str">
        <f>UPPER(Hoja1!A4&amp;" "&amp;Hoja1!B4&amp;" "&amp;Hoja1!C4)</f>
        <v>ALEMAN SANDI JONATHAN</v>
      </c>
      <c r="C10" s="61" t="s">
        <v>97</v>
      </c>
      <c r="D10" s="52"/>
      <c r="E10" s="20"/>
      <c r="F10" s="64" t="s">
        <v>111</v>
      </c>
    </row>
    <row r="11" spans="1:6" ht="15">
      <c r="A11" s="23">
        <v>5</v>
      </c>
      <c r="B11" s="58" t="s">
        <v>116</v>
      </c>
      <c r="C11" s="18" t="s">
        <v>76</v>
      </c>
      <c r="D11" s="26">
        <v>121620521</v>
      </c>
      <c r="E11" s="26"/>
      <c r="F11" s="66" t="s">
        <v>117</v>
      </c>
    </row>
    <row r="12" spans="1:6" ht="15">
      <c r="A12" s="23">
        <v>6</v>
      </c>
      <c r="B12" s="58" t="s">
        <v>118</v>
      </c>
      <c r="C12" s="18" t="s">
        <v>119</v>
      </c>
      <c r="D12" s="24">
        <v>120470353</v>
      </c>
      <c r="E12" s="24"/>
      <c r="F12" s="65" t="s">
        <v>111</v>
      </c>
    </row>
    <row r="13" spans="1:6" ht="15">
      <c r="A13" s="23">
        <v>7</v>
      </c>
      <c r="B13" s="58" t="s">
        <v>120</v>
      </c>
      <c r="C13" s="18" t="s">
        <v>49</v>
      </c>
      <c r="D13" s="27">
        <v>120910578</v>
      </c>
      <c r="E13" s="27"/>
      <c r="F13" s="65" t="s">
        <v>121</v>
      </c>
    </row>
    <row r="14" spans="1:6" ht="15">
      <c r="A14" s="23">
        <v>8</v>
      </c>
      <c r="B14" s="58" t="s">
        <v>122</v>
      </c>
      <c r="C14" s="62" t="s">
        <v>123</v>
      </c>
      <c r="D14" s="24">
        <v>121540833</v>
      </c>
      <c r="E14" s="24"/>
      <c r="F14" s="65" t="s">
        <v>124</v>
      </c>
    </row>
    <row r="15" spans="1:6" ht="15">
      <c r="A15" s="23">
        <v>9</v>
      </c>
      <c r="B15" s="57" t="str">
        <f>UPPER(Hoja1!A5&amp;" "&amp;Hoja1!B5&amp;" "&amp;Hoja1!C5)</f>
        <v>AVILES JIMENEZ THAIRYN JOSEBETH</v>
      </c>
      <c r="C15" s="61" t="s">
        <v>67</v>
      </c>
      <c r="D15" s="53"/>
      <c r="E15" s="20"/>
      <c r="F15" s="64" t="s">
        <v>111</v>
      </c>
    </row>
    <row r="16" spans="1:6" ht="15">
      <c r="A16" s="23">
        <v>10</v>
      </c>
      <c r="B16" s="58" t="s">
        <v>125</v>
      </c>
      <c r="C16" s="62" t="s">
        <v>126</v>
      </c>
      <c r="D16" s="27">
        <v>120870488</v>
      </c>
      <c r="E16" s="27"/>
      <c r="F16" s="66" t="s">
        <v>121</v>
      </c>
    </row>
    <row r="17" spans="1:6" ht="15">
      <c r="A17" s="23">
        <v>11</v>
      </c>
      <c r="B17" s="58" t="s">
        <v>127</v>
      </c>
      <c r="C17" s="18" t="s">
        <v>128</v>
      </c>
      <c r="D17" s="24">
        <v>605310238</v>
      </c>
      <c r="E17" s="24"/>
      <c r="F17" s="65" t="s">
        <v>121</v>
      </c>
    </row>
    <row r="18" spans="1:6" ht="15">
      <c r="A18" s="23">
        <v>12</v>
      </c>
      <c r="B18" s="58" t="s">
        <v>129</v>
      </c>
      <c r="C18" s="18" t="s">
        <v>123</v>
      </c>
      <c r="D18" s="25">
        <v>121270094</v>
      </c>
      <c r="E18" s="25"/>
      <c r="F18" s="65" t="s">
        <v>121</v>
      </c>
    </row>
    <row r="19" spans="1:6" ht="15">
      <c r="A19" s="23">
        <v>13</v>
      </c>
      <c r="B19" s="58" t="s">
        <v>130</v>
      </c>
      <c r="C19" s="62" t="s">
        <v>41</v>
      </c>
      <c r="D19" s="24">
        <v>15910111</v>
      </c>
      <c r="E19" s="24"/>
      <c r="F19" s="65"/>
    </row>
    <row r="20" spans="1:6" ht="30">
      <c r="A20" s="23">
        <v>14</v>
      </c>
      <c r="B20" s="58" t="s">
        <v>131</v>
      </c>
      <c r="C20" s="62" t="s">
        <v>123</v>
      </c>
      <c r="D20" s="24">
        <v>605410373</v>
      </c>
      <c r="E20" s="24"/>
      <c r="F20" s="66" t="s">
        <v>132</v>
      </c>
    </row>
    <row r="21" spans="1:6" ht="15">
      <c r="A21" s="23">
        <v>15</v>
      </c>
      <c r="B21" s="58" t="s">
        <v>133</v>
      </c>
      <c r="C21" s="18" t="s">
        <v>41</v>
      </c>
      <c r="D21" s="24">
        <v>605410463</v>
      </c>
      <c r="E21" s="24"/>
      <c r="F21" s="65" t="s">
        <v>111</v>
      </c>
    </row>
    <row r="22" spans="1:6" ht="15">
      <c r="A22" s="23">
        <v>16</v>
      </c>
      <c r="B22" s="58" t="s">
        <v>134</v>
      </c>
      <c r="C22" s="18" t="s">
        <v>76</v>
      </c>
      <c r="D22" s="25">
        <v>605410700</v>
      </c>
      <c r="E22" s="25"/>
      <c r="F22" s="65" t="s">
        <v>135</v>
      </c>
    </row>
    <row r="23" spans="1:6" ht="15">
      <c r="A23" s="23">
        <v>17</v>
      </c>
      <c r="B23" s="58" t="s">
        <v>136</v>
      </c>
      <c r="C23" s="18" t="s">
        <v>123</v>
      </c>
      <c r="D23" s="28">
        <v>605290162</v>
      </c>
      <c r="E23" s="28" t="s">
        <v>137</v>
      </c>
      <c r="F23" s="65" t="s">
        <v>121</v>
      </c>
    </row>
    <row r="24" spans="1:6" ht="15">
      <c r="A24" s="23">
        <v>18</v>
      </c>
      <c r="B24" s="57" t="str">
        <f>UPPER(Hoja1!A6&amp;" "&amp;Hoja1!B6&amp;" "&amp;Hoja1!C6)</f>
        <v>CHAVES ALVAREZ DARLENE ARELIZ</v>
      </c>
      <c r="C24" s="61" t="s">
        <v>18</v>
      </c>
      <c r="D24" s="52"/>
      <c r="E24" s="20"/>
      <c r="F24" s="64" t="s">
        <v>111</v>
      </c>
    </row>
    <row r="25" spans="1:6" ht="15">
      <c r="A25" s="23">
        <v>19</v>
      </c>
      <c r="B25" s="57" t="str">
        <f>UPPER(Hoja1!A7&amp;" "&amp;Hoja1!B7&amp;" "&amp;Hoja1!C7)</f>
        <v>CHAVES SALAZAR MAIDELYN ANDREINA</v>
      </c>
      <c r="C25" s="61" t="s">
        <v>14</v>
      </c>
      <c r="D25" s="52"/>
      <c r="E25" s="20"/>
      <c r="F25" s="64" t="s">
        <v>111</v>
      </c>
    </row>
    <row r="26" spans="1:6" ht="15">
      <c r="A26" s="23">
        <v>20</v>
      </c>
      <c r="B26" s="59" t="s">
        <v>138</v>
      </c>
      <c r="C26" s="62" t="s">
        <v>25</v>
      </c>
      <c r="D26" s="25">
        <v>121600888</v>
      </c>
      <c r="E26" s="25" t="s">
        <v>137</v>
      </c>
      <c r="F26" s="66" t="s">
        <v>111</v>
      </c>
    </row>
    <row r="27" spans="1:6" ht="15">
      <c r="A27" s="23">
        <v>21</v>
      </c>
      <c r="B27" s="58" t="s">
        <v>139</v>
      </c>
      <c r="C27" s="18" t="s">
        <v>9</v>
      </c>
      <c r="D27" s="27">
        <v>121070344</v>
      </c>
      <c r="E27" s="27"/>
      <c r="F27" s="65" t="s">
        <v>121</v>
      </c>
    </row>
    <row r="28" spans="1:6" ht="15">
      <c r="A28" s="23">
        <v>22</v>
      </c>
      <c r="B28" s="59" t="s">
        <v>140</v>
      </c>
      <c r="C28" s="62" t="s">
        <v>14</v>
      </c>
      <c r="D28" s="25">
        <v>605390846</v>
      </c>
      <c r="E28" s="25"/>
      <c r="F28" s="66" t="s">
        <v>111</v>
      </c>
    </row>
    <row r="29" spans="1:6" ht="15" customHeight="1">
      <c r="A29" s="23">
        <v>23</v>
      </c>
      <c r="B29" s="59" t="s">
        <v>141</v>
      </c>
      <c r="C29" s="18" t="s">
        <v>126</v>
      </c>
      <c r="D29" s="28">
        <v>605350919</v>
      </c>
      <c r="E29" s="28"/>
      <c r="F29" s="65" t="s">
        <v>121</v>
      </c>
    </row>
    <row r="30" spans="1:6" ht="15.75" customHeight="1">
      <c r="A30" s="23">
        <v>24</v>
      </c>
      <c r="B30" s="57" t="str">
        <f>UPPER(Hoja1!A8&amp;" "&amp;Hoja1!B8&amp;" "&amp;Hoja1!C8)</f>
        <v>DURAN VARGAS KEYLIN</v>
      </c>
      <c r="C30" s="61" t="s">
        <v>25</v>
      </c>
      <c r="D30" s="52"/>
      <c r="E30" s="20"/>
      <c r="F30" s="64" t="s">
        <v>111</v>
      </c>
    </row>
    <row r="31" spans="1:6" ht="15.75" customHeight="1">
      <c r="A31" s="23">
        <v>25</v>
      </c>
      <c r="B31" s="59" t="s">
        <v>142</v>
      </c>
      <c r="C31" s="62" t="s">
        <v>143</v>
      </c>
      <c r="D31" s="26">
        <v>605380655</v>
      </c>
      <c r="E31" s="26"/>
      <c r="F31" s="66" t="s">
        <v>144</v>
      </c>
    </row>
    <row r="32" spans="1:6" ht="15">
      <c r="A32" s="23">
        <v>26</v>
      </c>
      <c r="B32" s="58" t="s">
        <v>145</v>
      </c>
      <c r="C32" s="18" t="s">
        <v>123</v>
      </c>
      <c r="D32" s="56">
        <v>605360225</v>
      </c>
      <c r="E32" s="56"/>
      <c r="F32" s="65" t="s">
        <v>111</v>
      </c>
    </row>
    <row r="33" spans="1:6" ht="15" customHeight="1">
      <c r="A33" s="23">
        <v>27</v>
      </c>
      <c r="B33" s="58" t="s">
        <v>146</v>
      </c>
      <c r="C33" s="18" t="s">
        <v>9</v>
      </c>
      <c r="D33" s="28">
        <v>121370062</v>
      </c>
      <c r="E33" s="28"/>
      <c r="F33" s="65" t="s">
        <v>121</v>
      </c>
    </row>
    <row r="34" spans="1:6" ht="15.75" customHeight="1">
      <c r="A34" s="23">
        <v>28</v>
      </c>
      <c r="B34" s="58" t="s">
        <v>147</v>
      </c>
      <c r="C34" s="18" t="s">
        <v>148</v>
      </c>
      <c r="D34" s="24">
        <v>119850637</v>
      </c>
      <c r="E34" s="24"/>
      <c r="F34" s="65" t="s">
        <v>111</v>
      </c>
    </row>
    <row r="35" spans="1:6" ht="15">
      <c r="A35" s="23">
        <v>29</v>
      </c>
      <c r="B35" s="57" t="str">
        <f>UPPER(Hoja1!A9&amp;" "&amp;Hoja1!B9&amp;" "&amp;Hoja1!C9)</f>
        <v>FONSECA CONCEPCION ANGELO DAVID</v>
      </c>
      <c r="C35" s="61" t="s">
        <v>18</v>
      </c>
      <c r="D35" s="52"/>
      <c r="E35" s="20"/>
      <c r="F35" s="64" t="s">
        <v>111</v>
      </c>
    </row>
    <row r="36" spans="1:6" ht="15">
      <c r="A36" s="23">
        <v>30</v>
      </c>
      <c r="B36" s="59" t="s">
        <v>149</v>
      </c>
      <c r="C36" s="62" t="s">
        <v>71</v>
      </c>
      <c r="D36" s="26">
        <v>605380595</v>
      </c>
      <c r="E36" s="26" t="s">
        <v>137</v>
      </c>
      <c r="F36" s="66" t="s">
        <v>117</v>
      </c>
    </row>
    <row r="37" spans="1:6" ht="15">
      <c r="A37" s="23">
        <v>31</v>
      </c>
      <c r="B37" s="58" t="s">
        <v>150</v>
      </c>
      <c r="C37" s="18" t="s">
        <v>151</v>
      </c>
      <c r="D37" s="24">
        <v>120960941</v>
      </c>
      <c r="E37" s="24"/>
      <c r="F37" s="65" t="s">
        <v>152</v>
      </c>
    </row>
    <row r="38" spans="1:6" ht="15" customHeight="1">
      <c r="A38" s="23">
        <v>32</v>
      </c>
      <c r="B38" s="58" t="s">
        <v>153</v>
      </c>
      <c r="C38" s="18" t="s">
        <v>143</v>
      </c>
      <c r="D38" s="24">
        <v>605280177</v>
      </c>
      <c r="E38" s="24"/>
      <c r="F38" s="65" t="s">
        <v>154</v>
      </c>
    </row>
    <row r="39" spans="1:6" ht="15.75" customHeight="1">
      <c r="A39" s="23">
        <v>33</v>
      </c>
      <c r="B39" s="57" t="str">
        <f>UPPER(Hoja1!A10&amp;" "&amp;Hoja1!B10&amp;" "&amp;Hoja1!C10)</f>
        <v>GONZÁLEZ ZAPATA OBETH MARTÍN</v>
      </c>
      <c r="C39" s="61" t="s">
        <v>25</v>
      </c>
      <c r="D39" s="52"/>
      <c r="E39" s="20"/>
      <c r="F39" s="64" t="s">
        <v>111</v>
      </c>
    </row>
    <row r="40" spans="1:6" ht="15" customHeight="1">
      <c r="A40" s="23">
        <v>34</v>
      </c>
      <c r="B40" s="57" t="str">
        <f>UPPER(Hoja1!A11&amp;" "&amp;Hoja1!B11&amp;" "&amp;Hoja1!C11)</f>
        <v>GUERRA CASTILLO AGUSTIN</v>
      </c>
      <c r="C40" s="61" t="s">
        <v>67</v>
      </c>
      <c r="D40" s="53"/>
      <c r="E40" s="20"/>
      <c r="F40" s="64" t="s">
        <v>111</v>
      </c>
    </row>
    <row r="41" spans="1:6" ht="15.75" customHeight="1">
      <c r="A41" s="23">
        <v>35</v>
      </c>
      <c r="B41" s="57" t="str">
        <f>UPPER(Hoja1!A12&amp;" "&amp;Hoja1!B12&amp;" "&amp;Hoja1!C12)</f>
        <v>GUTIERREZ DUARTE ANGELO EFREN</v>
      </c>
      <c r="C41" s="61" t="s">
        <v>71</v>
      </c>
      <c r="D41" s="51"/>
      <c r="E41" s="20"/>
      <c r="F41" s="64" t="s">
        <v>111</v>
      </c>
    </row>
    <row r="42" spans="1:6" ht="15">
      <c r="A42" s="23">
        <v>36</v>
      </c>
      <c r="B42" s="58" t="s">
        <v>155</v>
      </c>
      <c r="C42" s="18" t="s">
        <v>128</v>
      </c>
      <c r="D42" s="27">
        <v>121030133</v>
      </c>
      <c r="E42" s="27"/>
      <c r="F42" s="65" t="s">
        <v>156</v>
      </c>
    </row>
    <row r="43" spans="1:6" ht="15">
      <c r="A43" s="23">
        <v>37</v>
      </c>
      <c r="B43" s="59" t="s">
        <v>157</v>
      </c>
      <c r="C43" s="62" t="s">
        <v>14</v>
      </c>
      <c r="D43" s="25">
        <v>121470877</v>
      </c>
      <c r="E43" s="25"/>
      <c r="F43" s="66" t="s">
        <v>111</v>
      </c>
    </row>
    <row r="44" spans="1:6" ht="15">
      <c r="A44" s="23">
        <v>38</v>
      </c>
      <c r="B44" s="58" t="s">
        <v>158</v>
      </c>
      <c r="C44" s="18" t="s">
        <v>126</v>
      </c>
      <c r="D44" s="27">
        <v>121210036</v>
      </c>
      <c r="E44" s="27"/>
      <c r="F44" s="65" t="s">
        <v>121</v>
      </c>
    </row>
    <row r="45" spans="1:6" ht="15">
      <c r="A45" s="23">
        <v>39</v>
      </c>
      <c r="B45" s="57" t="str">
        <f>UPPER(Hoja1!A13&amp;" "&amp;Hoja1!B13&amp;" "&amp;Hoja1!C13)</f>
        <v>JIMENEZ CRISOTO LUCIA</v>
      </c>
      <c r="C45" s="61" t="s">
        <v>25</v>
      </c>
      <c r="D45" s="52"/>
      <c r="E45" s="20"/>
      <c r="F45" s="64" t="s">
        <v>111</v>
      </c>
    </row>
    <row r="46" spans="1:6" ht="15">
      <c r="A46" s="23">
        <v>40</v>
      </c>
      <c r="B46" s="58" t="s">
        <v>159</v>
      </c>
      <c r="C46" s="18" t="s">
        <v>14</v>
      </c>
      <c r="D46" s="24">
        <v>605390658</v>
      </c>
      <c r="E46" s="24"/>
      <c r="F46" s="65" t="s">
        <v>111</v>
      </c>
    </row>
    <row r="47" spans="1:6" ht="15">
      <c r="A47" s="23">
        <v>41</v>
      </c>
      <c r="B47" s="57" t="str">
        <f>UPPER(Hoja1!A14&amp;" "&amp;Hoja1!B14&amp;" "&amp;Hoja1!C14)</f>
        <v>JIMENEZ TRAÑA AXSEL FRANCISCO</v>
      </c>
      <c r="C47" s="61" t="s">
        <v>87</v>
      </c>
      <c r="D47" s="52"/>
      <c r="E47" s="20"/>
      <c r="F47" s="64" t="s">
        <v>111</v>
      </c>
    </row>
    <row r="48" spans="1:6" ht="15">
      <c r="A48" s="23">
        <v>42</v>
      </c>
      <c r="B48" s="58" t="s">
        <v>160</v>
      </c>
      <c r="C48" s="18" t="s">
        <v>49</v>
      </c>
      <c r="D48" s="27">
        <v>605300916</v>
      </c>
      <c r="E48" s="27"/>
      <c r="F48" s="65" t="s">
        <v>121</v>
      </c>
    </row>
    <row r="49" spans="1:9" ht="15">
      <c r="A49" s="23">
        <v>43</v>
      </c>
      <c r="B49" s="57" t="str">
        <f>UPPER(Hoja1!A15&amp;" "&amp;Hoja1!B15&amp;" "&amp;Hoja1!C15)</f>
        <v>MARTINEZ CRUZ YIRLANI DANIELA</v>
      </c>
      <c r="C49" s="61" t="s">
        <v>71</v>
      </c>
      <c r="D49" s="52"/>
      <c r="E49" s="20"/>
      <c r="F49" s="64" t="s">
        <v>111</v>
      </c>
    </row>
    <row r="50" spans="1:9" ht="15">
      <c r="A50" s="23">
        <v>44</v>
      </c>
      <c r="B50" s="58" t="s">
        <v>161</v>
      </c>
      <c r="C50" s="18" t="s">
        <v>32</v>
      </c>
      <c r="D50" s="24">
        <v>605270052</v>
      </c>
      <c r="E50" s="24"/>
      <c r="F50" s="65" t="s">
        <v>117</v>
      </c>
    </row>
    <row r="51" spans="1:9" ht="15">
      <c r="A51" s="23">
        <v>45</v>
      </c>
      <c r="B51" s="57" t="str">
        <f>UPPER(Hoja1!A16&amp;" "&amp;Hoja1!B16&amp;" "&amp;Hoja1!C16)</f>
        <v>MARTINEZ PORRAS TAYRA SOFIA</v>
      </c>
      <c r="C51" s="61" t="s">
        <v>112</v>
      </c>
      <c r="D51" s="52"/>
      <c r="E51" s="20"/>
      <c r="F51" s="64" t="s">
        <v>111</v>
      </c>
    </row>
    <row r="52" spans="1:9" ht="15">
      <c r="A52" s="23">
        <v>46</v>
      </c>
      <c r="B52" s="57" t="str">
        <f>UPPER(Hoja1!A17&amp;" "&amp;Hoja1!B17&amp;" "&amp;Hoja1!C17)</f>
        <v>MAZA BORBON ANYELO YAHIR</v>
      </c>
      <c r="C52" s="61" t="s">
        <v>18</v>
      </c>
      <c r="D52" s="52"/>
      <c r="E52" s="20"/>
      <c r="F52" s="64" t="s">
        <v>111</v>
      </c>
    </row>
    <row r="53" spans="1:9" ht="15">
      <c r="A53" s="23">
        <v>47</v>
      </c>
      <c r="B53" s="58" t="s">
        <v>162</v>
      </c>
      <c r="C53" s="18" t="s">
        <v>163</v>
      </c>
      <c r="D53" s="24">
        <v>605230446</v>
      </c>
      <c r="E53" s="24"/>
      <c r="F53" s="65" t="s">
        <v>111</v>
      </c>
    </row>
    <row r="54" spans="1:9" ht="15">
      <c r="A54" s="23">
        <v>48</v>
      </c>
      <c r="B54" s="58" t="s">
        <v>164</v>
      </c>
      <c r="C54" s="18" t="s">
        <v>128</v>
      </c>
      <c r="D54" s="27">
        <v>605330611</v>
      </c>
      <c r="E54" s="27"/>
      <c r="F54" s="65" t="s">
        <v>165</v>
      </c>
    </row>
    <row r="55" spans="1:9" ht="15">
      <c r="A55" s="23">
        <v>49</v>
      </c>
      <c r="B55" s="59" t="s">
        <v>166</v>
      </c>
      <c r="C55" s="62" t="s">
        <v>14</v>
      </c>
      <c r="D55" s="26">
        <v>605400754</v>
      </c>
      <c r="E55" s="26"/>
      <c r="F55" s="66" t="s">
        <v>117</v>
      </c>
    </row>
    <row r="56" spans="1:9" ht="15">
      <c r="A56" s="23">
        <v>50</v>
      </c>
      <c r="B56" s="58" t="s">
        <v>167</v>
      </c>
      <c r="C56" s="18" t="s">
        <v>41</v>
      </c>
      <c r="D56" s="24">
        <v>605290160</v>
      </c>
      <c r="E56" s="24"/>
      <c r="F56" s="65" t="s">
        <v>111</v>
      </c>
    </row>
    <row r="57" spans="1:9" ht="15">
      <c r="A57" s="23">
        <v>51</v>
      </c>
      <c r="B57" s="57" t="str">
        <f>UPPER(Hoja1!A18&amp;" "&amp;Hoja1!B18&amp;" "&amp;Hoja1!C18)</f>
        <v>MIRANDA FLORES KEINER ANDRES</v>
      </c>
      <c r="C57" s="61" t="s">
        <v>71</v>
      </c>
      <c r="D57" s="52"/>
      <c r="E57" s="20"/>
      <c r="F57" s="64" t="s">
        <v>111</v>
      </c>
    </row>
    <row r="58" spans="1:9" ht="66.75" customHeight="1">
      <c r="A58" s="23">
        <v>52</v>
      </c>
      <c r="B58" s="58" t="s">
        <v>168</v>
      </c>
      <c r="C58" s="18" t="s">
        <v>52</v>
      </c>
      <c r="D58" s="25" t="s">
        <v>169</v>
      </c>
      <c r="E58" s="25"/>
      <c r="F58" s="65"/>
    </row>
    <row r="59" spans="1:9" ht="15" customHeight="1">
      <c r="A59" s="23">
        <v>53</v>
      </c>
      <c r="B59" s="57" t="str">
        <f>UPPER(Hoja1!A19&amp;" "&amp;Hoja1!B19&amp;" "&amp;Hoja1!C19)</f>
        <v>MORA JIMENEZ NEITHAN GABRIEL</v>
      </c>
      <c r="C59" s="61" t="s">
        <v>112</v>
      </c>
      <c r="D59" s="52"/>
      <c r="E59" s="20"/>
      <c r="F59" s="64" t="s">
        <v>111</v>
      </c>
    </row>
    <row r="60" spans="1:9" ht="14.25" customHeight="1">
      <c r="A60" s="23">
        <v>54</v>
      </c>
      <c r="B60" s="57" t="str">
        <f>UPPER(Hoja1!A20&amp;" "&amp;Hoja1!B20&amp;" "&amp;Hoja1!C20)</f>
        <v>MORALES CHAVES RONALD YOPTIHEL</v>
      </c>
      <c r="C60" s="61" t="s">
        <v>71</v>
      </c>
      <c r="D60" s="52"/>
      <c r="E60" s="20"/>
      <c r="F60" s="64" t="s">
        <v>111</v>
      </c>
      <c r="G60" s="54"/>
      <c r="H60" s="54"/>
      <c r="I60" s="55"/>
    </row>
    <row r="61" spans="1:9" ht="14.25" customHeight="1">
      <c r="A61" s="23">
        <v>55</v>
      </c>
      <c r="B61" s="59" t="s">
        <v>170</v>
      </c>
      <c r="C61" s="62" t="s">
        <v>67</v>
      </c>
      <c r="D61" s="25">
        <v>605320713</v>
      </c>
      <c r="E61" s="25" t="s">
        <v>137</v>
      </c>
      <c r="F61" s="66" t="s">
        <v>117</v>
      </c>
      <c r="G61" s="54"/>
      <c r="H61" s="54"/>
      <c r="I61" s="55"/>
    </row>
    <row r="62" spans="1:9" ht="14.25" customHeight="1">
      <c r="A62" s="23">
        <v>56</v>
      </c>
      <c r="B62" s="57" t="str">
        <f>UPPER(Hoja1!A21&amp;" "&amp;Hoja1!B21&amp;" "&amp;Hoja1!C21)</f>
        <v>MORALES PALACIOS VICTOR</v>
      </c>
      <c r="C62" s="61" t="s">
        <v>71</v>
      </c>
      <c r="D62" s="52"/>
      <c r="E62" s="20"/>
      <c r="F62" s="64" t="s">
        <v>111</v>
      </c>
      <c r="G62" s="54"/>
      <c r="H62" s="54"/>
      <c r="I62" s="55"/>
    </row>
    <row r="63" spans="1:9" ht="14.25" customHeight="1">
      <c r="A63" s="23">
        <v>57</v>
      </c>
      <c r="B63" s="57" t="str">
        <f>UPPER(Hoja1!A22&amp;" "&amp;Hoja1!B22&amp;" "&amp;Hoja1!C22)</f>
        <v>MORALES VILLEGAS JOSUE ESTEBAN</v>
      </c>
      <c r="C63" s="61" t="s">
        <v>71</v>
      </c>
      <c r="D63" s="52"/>
      <c r="E63" s="20"/>
      <c r="F63" s="64" t="s">
        <v>111</v>
      </c>
      <c r="G63" s="54"/>
      <c r="H63" s="54"/>
      <c r="I63" s="55"/>
    </row>
    <row r="64" spans="1:9" ht="14.25" customHeight="1">
      <c r="A64" s="23">
        <v>58</v>
      </c>
      <c r="B64" s="57" t="str">
        <f>UPPER(Hoja1!A23&amp;" "&amp;Hoja1!B23&amp;" "&amp;Hoja1!C23)</f>
        <v>PEREZ CORDERO BENYAMIN YAZID</v>
      </c>
      <c r="C64" s="61" t="s">
        <v>87</v>
      </c>
      <c r="D64" s="52"/>
      <c r="E64" s="20"/>
      <c r="F64" s="64" t="s">
        <v>111</v>
      </c>
      <c r="G64" s="54"/>
      <c r="H64" s="54"/>
      <c r="I64" s="55"/>
    </row>
    <row r="65" spans="1:9" ht="14.25" customHeight="1">
      <c r="A65" s="23">
        <v>59</v>
      </c>
      <c r="B65" s="57" t="str">
        <f>UPPER(Hoja1!A24&amp;" "&amp;Hoja1!B24&amp;" "&amp;Hoja1!C24)</f>
        <v>PEREZ SALAZAR ANGEL RAFAEL</v>
      </c>
      <c r="C65" s="61" t="s">
        <v>18</v>
      </c>
      <c r="D65" s="52"/>
      <c r="E65" s="20"/>
      <c r="F65" s="64" t="s">
        <v>111</v>
      </c>
      <c r="G65" s="54"/>
      <c r="H65" s="54"/>
      <c r="I65" s="55"/>
    </row>
    <row r="66" spans="1:9" ht="14.25" customHeight="1">
      <c r="A66" s="23">
        <v>60</v>
      </c>
      <c r="B66" s="59" t="s">
        <v>171</v>
      </c>
      <c r="C66" s="62" t="s">
        <v>52</v>
      </c>
      <c r="D66" s="25">
        <v>121440095</v>
      </c>
      <c r="E66" s="25"/>
      <c r="F66" s="66" t="s">
        <v>144</v>
      </c>
      <c r="G66" s="54"/>
      <c r="H66" s="54"/>
      <c r="I66" s="55"/>
    </row>
    <row r="67" spans="1:9" ht="14.25" customHeight="1">
      <c r="A67" s="23">
        <v>61</v>
      </c>
      <c r="B67" s="57" t="str">
        <f>UPPER(Hoja1!A25&amp;" "&amp;Hoja1!B25&amp;" "&amp;Hoja1!C25)</f>
        <v>PINZON JIRON SAMANTHA VANESSA</v>
      </c>
      <c r="C67" s="61" t="s">
        <v>97</v>
      </c>
      <c r="D67" s="52"/>
      <c r="E67" s="20"/>
      <c r="F67" s="64" t="s">
        <v>111</v>
      </c>
      <c r="G67" s="54"/>
      <c r="H67" s="54"/>
      <c r="I67" s="55"/>
    </row>
    <row r="68" spans="1:9" ht="14.25" customHeight="1">
      <c r="A68" s="23">
        <v>62</v>
      </c>
      <c r="B68" s="57" t="str">
        <f>UPPER(Hoja1!A26&amp;" "&amp;Hoja1!B26&amp;" "&amp;Hoja1!C26)</f>
        <v>QUESADA ABARCA ANDERSON STIP</v>
      </c>
      <c r="C68" s="61" t="s">
        <v>87</v>
      </c>
      <c r="D68" s="52"/>
      <c r="E68" s="20"/>
      <c r="F68" s="64" t="s">
        <v>111</v>
      </c>
      <c r="G68" s="54"/>
      <c r="H68" s="54"/>
      <c r="I68" s="55"/>
    </row>
    <row r="69" spans="1:9" ht="14.25" customHeight="1">
      <c r="A69" s="23">
        <v>63</v>
      </c>
      <c r="B69" s="58" t="s">
        <v>172</v>
      </c>
      <c r="C69" s="18" t="s">
        <v>32</v>
      </c>
      <c r="D69" s="27">
        <v>605320529</v>
      </c>
      <c r="E69" s="27"/>
      <c r="F69" s="65" t="s">
        <v>121</v>
      </c>
      <c r="G69" s="54"/>
      <c r="H69" s="54"/>
      <c r="I69" s="55"/>
    </row>
    <row r="70" spans="1:9" ht="14.25" customHeight="1">
      <c r="A70" s="23">
        <v>64</v>
      </c>
      <c r="B70" s="58" t="s">
        <v>173</v>
      </c>
      <c r="C70" s="18" t="s">
        <v>114</v>
      </c>
      <c r="D70" s="24">
        <v>121060478</v>
      </c>
      <c r="E70" s="24"/>
      <c r="F70" s="65" t="s">
        <v>174</v>
      </c>
      <c r="G70" s="54"/>
      <c r="H70" s="54"/>
      <c r="I70" s="54"/>
    </row>
    <row r="71" spans="1:9" ht="14.25" customHeight="1">
      <c r="A71" s="23">
        <v>65</v>
      </c>
      <c r="B71" s="57" t="str">
        <f>UPPER(Hoja1!A27&amp;" "&amp;Hoja1!B27&amp;" "&amp;Hoja1!C27)</f>
        <v>RODRIGUEZ MOYA SHELBY KYARA</v>
      </c>
      <c r="C71" s="61" t="s">
        <v>25</v>
      </c>
      <c r="D71" s="52"/>
      <c r="E71" s="20"/>
      <c r="F71" s="64" t="s">
        <v>111</v>
      </c>
      <c r="G71" s="54"/>
      <c r="H71" s="54"/>
      <c r="I71" s="55"/>
    </row>
    <row r="72" spans="1:9" ht="14.25" customHeight="1">
      <c r="A72" s="23">
        <v>66</v>
      </c>
      <c r="B72" s="59" t="s">
        <v>175</v>
      </c>
      <c r="C72" s="62" t="s">
        <v>143</v>
      </c>
      <c r="D72" s="26">
        <v>121630125</v>
      </c>
      <c r="E72" s="26"/>
      <c r="F72" s="66" t="s">
        <v>117</v>
      </c>
      <c r="G72" s="54"/>
      <c r="H72" s="54"/>
      <c r="I72" s="55"/>
    </row>
    <row r="73" spans="1:9" ht="14.25" customHeight="1">
      <c r="A73" s="23">
        <v>67</v>
      </c>
      <c r="B73" s="58" t="s">
        <v>176</v>
      </c>
      <c r="C73" s="18" t="s">
        <v>71</v>
      </c>
      <c r="D73" s="26">
        <v>605370959</v>
      </c>
      <c r="E73" s="26"/>
      <c r="F73" s="66" t="s">
        <v>117</v>
      </c>
      <c r="G73" s="54"/>
      <c r="H73" s="54"/>
      <c r="I73" s="55"/>
    </row>
    <row r="74" spans="1:9" ht="14.25" customHeight="1">
      <c r="A74" s="23">
        <v>67</v>
      </c>
      <c r="B74" s="58" t="s">
        <v>177</v>
      </c>
      <c r="C74" s="62" t="s">
        <v>32</v>
      </c>
      <c r="D74" s="27">
        <v>605280449</v>
      </c>
      <c r="E74" s="27"/>
      <c r="F74" s="65" t="s">
        <v>121</v>
      </c>
      <c r="G74" s="54"/>
      <c r="H74" s="54"/>
      <c r="I74" s="55"/>
    </row>
    <row r="75" spans="1:9" ht="14.25" customHeight="1">
      <c r="A75" s="23">
        <v>69</v>
      </c>
      <c r="B75" s="57" t="str">
        <f>UPPER(Hoja1!A28&amp;" "&amp;Hoja1!B28&amp;" "&amp;Hoja1!C28)</f>
        <v>SANDI QUIROS BRENDA SOFIA</v>
      </c>
      <c r="C75" s="61" t="s">
        <v>87</v>
      </c>
      <c r="D75" s="52"/>
      <c r="E75" s="20"/>
      <c r="F75" s="64" t="s">
        <v>111</v>
      </c>
      <c r="G75" s="54"/>
      <c r="H75" s="54"/>
      <c r="I75" s="55"/>
    </row>
    <row r="76" spans="1:9" ht="14.25" customHeight="1">
      <c r="A76" s="23">
        <v>70</v>
      </c>
      <c r="B76" s="58" t="s">
        <v>178</v>
      </c>
      <c r="C76" s="18" t="s">
        <v>179</v>
      </c>
      <c r="D76" s="24">
        <v>305700900</v>
      </c>
      <c r="E76" s="24"/>
      <c r="F76" s="65" t="s">
        <v>111</v>
      </c>
      <c r="G76" s="54"/>
      <c r="H76" s="54"/>
      <c r="I76" s="55"/>
    </row>
    <row r="77" spans="1:9" ht="14.25" customHeight="1">
      <c r="A77" s="23">
        <v>71</v>
      </c>
      <c r="B77" s="57" t="str">
        <f>UPPER(Hoja1!A29&amp;" "&amp;Hoja1!B29&amp;" "&amp;Hoja1!C29)</f>
        <v>SEGURA MUÑOZ MATEO</v>
      </c>
      <c r="C77" s="61" t="s">
        <v>112</v>
      </c>
      <c r="D77" s="52"/>
      <c r="E77" s="20"/>
      <c r="F77" s="64" t="s">
        <v>111</v>
      </c>
      <c r="G77" s="54"/>
      <c r="H77" s="54"/>
      <c r="I77" s="55"/>
    </row>
    <row r="78" spans="1:9" ht="14.25" customHeight="1">
      <c r="A78" s="23">
        <v>72</v>
      </c>
      <c r="B78" s="58" t="s">
        <v>180</v>
      </c>
      <c r="C78" s="18" t="s">
        <v>181</v>
      </c>
      <c r="D78" s="24">
        <v>120870651</v>
      </c>
      <c r="E78" s="24"/>
      <c r="F78" s="65" t="s">
        <v>111</v>
      </c>
      <c r="G78" s="54"/>
      <c r="H78" s="54"/>
      <c r="I78" s="55"/>
    </row>
    <row r="79" spans="1:9" ht="14.25" customHeight="1">
      <c r="A79" s="23">
        <v>73</v>
      </c>
      <c r="B79" s="57" t="str">
        <f>UPPER(Hoja1!A30&amp;" "&amp;Hoja1!B30&amp;" "&amp;Hoja1!C30)</f>
        <v>SOTO MENA STACY IVON</v>
      </c>
      <c r="C79" s="61" t="s">
        <v>67</v>
      </c>
      <c r="D79" s="53"/>
      <c r="E79" s="20"/>
      <c r="F79" s="64" t="s">
        <v>111</v>
      </c>
      <c r="G79" s="54"/>
      <c r="H79" s="54"/>
      <c r="I79" s="55"/>
    </row>
    <row r="80" spans="1:9" ht="14.25" customHeight="1">
      <c r="A80" s="23">
        <v>74</v>
      </c>
      <c r="B80" s="57" t="str">
        <f>UPPER(Hoja1!A31&amp;" "&amp;Hoja1!B31&amp;" "&amp;Hoja1!C31)</f>
        <v>UREÑA MORA NAZARETH MICKAELA</v>
      </c>
      <c r="C80" s="61" t="s">
        <v>97</v>
      </c>
      <c r="D80" s="52"/>
      <c r="E80" s="20"/>
      <c r="F80" s="64" t="s">
        <v>111</v>
      </c>
      <c r="G80" s="54"/>
      <c r="H80" s="54"/>
      <c r="I80" s="55"/>
    </row>
    <row r="81" spans="1:9" ht="14.25" customHeight="1">
      <c r="A81" s="23">
        <v>75</v>
      </c>
      <c r="B81" s="58" t="s">
        <v>182</v>
      </c>
      <c r="C81" s="18" t="s">
        <v>71</v>
      </c>
      <c r="D81" s="26">
        <v>605390378</v>
      </c>
      <c r="E81" s="26"/>
      <c r="F81" s="66" t="s">
        <v>183</v>
      </c>
      <c r="G81" s="54"/>
      <c r="H81" s="54"/>
      <c r="I81" s="55"/>
    </row>
    <row r="82" spans="1:9" ht="14.25" customHeight="1">
      <c r="A82" s="23">
        <v>76</v>
      </c>
      <c r="B82" s="59" t="s">
        <v>184</v>
      </c>
      <c r="C82" s="62" t="s">
        <v>52</v>
      </c>
      <c r="D82" s="26">
        <v>605410453</v>
      </c>
      <c r="E82" s="26"/>
      <c r="F82" s="66" t="s">
        <v>144</v>
      </c>
      <c r="G82" s="54"/>
      <c r="H82" s="54"/>
      <c r="I82" s="55"/>
    </row>
    <row r="83" spans="1:9" ht="14.25" customHeight="1">
      <c r="A83" s="23">
        <v>77</v>
      </c>
      <c r="B83" s="58" t="s">
        <v>185</v>
      </c>
      <c r="C83" s="62" t="s">
        <v>49</v>
      </c>
      <c r="D83" s="27">
        <v>121050092</v>
      </c>
      <c r="E83" s="27"/>
      <c r="F83" s="65" t="s">
        <v>186</v>
      </c>
      <c r="G83" s="54"/>
      <c r="H83" s="54"/>
      <c r="I83" s="55"/>
    </row>
    <row r="84" spans="1:9" ht="14.25" customHeight="1">
      <c r="A84" s="23">
        <v>78</v>
      </c>
      <c r="B84" s="57" t="str">
        <f>UPPER(Hoja1!A32&amp;" "&amp;Hoja1!B32&amp;" "&amp;Hoja1!C32)</f>
        <v>VARGAS FONSECA ALLISON MARIEL</v>
      </c>
      <c r="C84" s="61" t="s">
        <v>87</v>
      </c>
      <c r="D84" s="52"/>
      <c r="E84" s="20"/>
      <c r="F84" s="64" t="s">
        <v>111</v>
      </c>
      <c r="G84" s="54"/>
      <c r="H84" s="54"/>
      <c r="I84" s="55"/>
    </row>
    <row r="85" spans="1:9" ht="14.25" customHeight="1">
      <c r="A85" s="23">
        <v>79</v>
      </c>
      <c r="B85" s="58" t="s">
        <v>187</v>
      </c>
      <c r="C85" s="18" t="s">
        <v>41</v>
      </c>
      <c r="D85" s="26">
        <v>121520796</v>
      </c>
      <c r="E85" s="26"/>
      <c r="F85" s="66" t="s">
        <v>188</v>
      </c>
      <c r="G85" s="54"/>
      <c r="H85" s="54"/>
      <c r="I85" s="55"/>
    </row>
    <row r="86" spans="1:9" ht="14.25" customHeight="1">
      <c r="A86" s="23">
        <v>80</v>
      </c>
      <c r="B86" s="57" t="str">
        <f>UPPER(Hoja1!A33&amp;" "&amp;Hoja1!B33&amp;" "&amp;Hoja1!C33)</f>
        <v>VEGA CASCANTE JOSE PABLO</v>
      </c>
      <c r="C86" s="61" t="s">
        <v>71</v>
      </c>
      <c r="D86" s="52"/>
      <c r="E86" s="20"/>
      <c r="F86" s="64" t="s">
        <v>111</v>
      </c>
      <c r="G86" s="54"/>
      <c r="H86" s="54"/>
      <c r="I86" s="55"/>
    </row>
    <row r="87" spans="1:9" ht="14.25" customHeight="1">
      <c r="A87" s="23">
        <v>81</v>
      </c>
      <c r="B87" s="58" t="s">
        <v>189</v>
      </c>
      <c r="C87" s="18" t="s">
        <v>143</v>
      </c>
      <c r="D87" s="25">
        <v>121450601</v>
      </c>
      <c r="E87" s="25"/>
      <c r="F87" s="65" t="s">
        <v>121</v>
      </c>
      <c r="G87" s="54"/>
      <c r="H87" s="54"/>
      <c r="I87" s="55"/>
    </row>
    <row r="88" spans="1:9" ht="14.25" customHeight="1">
      <c r="A88" s="23">
        <v>82</v>
      </c>
      <c r="B88" s="57" t="str">
        <f>UPPER(Hoja1!A34&amp;" "&amp;Hoja1!B34&amp;" "&amp;Hoja1!C34)</f>
        <v>VENADO SONDOYA YORIEL ESTEBAN</v>
      </c>
      <c r="C88" s="61" t="s">
        <v>18</v>
      </c>
      <c r="D88" s="51"/>
      <c r="E88" s="20"/>
      <c r="F88" s="64" t="s">
        <v>111</v>
      </c>
      <c r="G88" s="54"/>
      <c r="H88" s="54"/>
      <c r="I88" s="55"/>
    </row>
    <row r="89" spans="1:9" ht="14.25" customHeight="1">
      <c r="A89" s="23">
        <v>83</v>
      </c>
      <c r="B89" s="58" t="s">
        <v>190</v>
      </c>
      <c r="C89" s="62" t="s">
        <v>9</v>
      </c>
      <c r="D89" s="27">
        <v>605230409</v>
      </c>
      <c r="E89" s="27"/>
      <c r="F89" s="66" t="s">
        <v>121</v>
      </c>
      <c r="G89" s="54"/>
      <c r="H89" s="54"/>
      <c r="I89" s="55"/>
    </row>
    <row r="90" spans="1:9" ht="14.25" customHeight="1">
      <c r="A90" s="23">
        <v>84</v>
      </c>
      <c r="B90" s="58" t="s">
        <v>191</v>
      </c>
      <c r="C90" s="18" t="s">
        <v>119</v>
      </c>
      <c r="D90" s="24">
        <v>120680996</v>
      </c>
      <c r="E90" s="24"/>
      <c r="F90" s="65" t="s">
        <v>111</v>
      </c>
      <c r="G90" s="54"/>
      <c r="H90" s="54"/>
      <c r="I90" s="55"/>
    </row>
    <row r="91" spans="1:9" ht="14.25" customHeight="1">
      <c r="A91" s="23">
        <v>85</v>
      </c>
      <c r="B91" s="57" t="str">
        <f>UPPER(Hoja1!A35&amp;" "&amp;Hoja1!B35&amp;" "&amp;Hoja1!C35)</f>
        <v>VIQUEZ SANABRIA BRANDON YOSUE</v>
      </c>
      <c r="C91" s="61" t="s">
        <v>71</v>
      </c>
      <c r="D91" s="52"/>
      <c r="E91" s="20"/>
      <c r="F91" s="64" t="s">
        <v>111</v>
      </c>
      <c r="G91" s="54"/>
      <c r="H91" s="54"/>
      <c r="I91" s="55"/>
    </row>
    <row r="92" spans="1:9" ht="14.25" customHeight="1">
      <c r="A92" s="23">
        <v>86</v>
      </c>
      <c r="B92" s="58" t="s">
        <v>192</v>
      </c>
      <c r="C92" s="18" t="s">
        <v>181</v>
      </c>
      <c r="D92" s="24">
        <v>605260405</v>
      </c>
      <c r="E92" s="24"/>
      <c r="F92" s="65" t="s">
        <v>111</v>
      </c>
      <c r="G92" s="54"/>
      <c r="H92" s="54"/>
      <c r="I92" s="54"/>
    </row>
    <row r="93" spans="1:9" ht="14.25" customHeight="1">
      <c r="A93" s="23">
        <v>87</v>
      </c>
      <c r="B93" s="57" t="str">
        <f>UPPER(Hoja1!A36&amp;" "&amp;Hoja1!B36&amp;" "&amp;Hoja1!C36)</f>
        <v xml:space="preserve">ZAPATA LOPEZ KEILYN NICOLE </v>
      </c>
      <c r="C93" s="61" t="s">
        <v>25</v>
      </c>
      <c r="D93" s="52"/>
      <c r="E93" s="20"/>
      <c r="F93" s="64" t="s">
        <v>111</v>
      </c>
      <c r="G93" s="54"/>
      <c r="H93" s="54"/>
      <c r="I93" s="55"/>
    </row>
    <row r="94" spans="1:9" ht="14.25" customHeight="1">
      <c r="A94" s="23">
        <v>88</v>
      </c>
      <c r="B94" s="57" t="str">
        <f>UPPER(Hoja1!A37&amp;" "&amp;Hoja1!B37&amp;" "&amp;Hoja1!C37)</f>
        <v>ZAPATA MONTEZUMA NEYA</v>
      </c>
      <c r="C94" s="61" t="s">
        <v>67</v>
      </c>
      <c r="D94" s="53"/>
      <c r="E94" s="20"/>
      <c r="F94" s="64" t="s">
        <v>111</v>
      </c>
      <c r="G94" s="54"/>
      <c r="H94" s="54"/>
      <c r="I94" s="55"/>
    </row>
    <row r="95" spans="1:9" ht="14.25" customHeight="1">
      <c r="A95" s="23">
        <v>89</v>
      </c>
      <c r="B95" s="57" t="str">
        <f>UPPER(Hoja1!A38&amp;" "&amp;Hoja1!B38&amp;" "&amp;Hoja1!C38)</f>
        <v>ZUÑIGA BUZANO ELIAZAR ISMAEL</v>
      </c>
      <c r="C95" s="61" t="s">
        <v>67</v>
      </c>
      <c r="D95" s="53"/>
      <c r="E95" s="20"/>
      <c r="F95" s="64" t="s">
        <v>111</v>
      </c>
      <c r="G95" s="54"/>
      <c r="H95" s="54"/>
      <c r="I95" s="55"/>
    </row>
    <row r="96" spans="1:9" ht="14.25" customHeight="1">
      <c r="A96" s="23">
        <v>90</v>
      </c>
      <c r="B96" s="58" t="s">
        <v>193</v>
      </c>
      <c r="C96" s="18" t="s">
        <v>128</v>
      </c>
      <c r="D96" s="24">
        <v>605320535</v>
      </c>
      <c r="E96" s="24"/>
      <c r="F96" s="65" t="s">
        <v>111</v>
      </c>
      <c r="G96" s="54"/>
      <c r="H96" s="54"/>
      <c r="I96" s="55"/>
    </row>
    <row r="97" spans="1:6" ht="14.25" customHeight="1">
      <c r="A97" s="23">
        <v>91</v>
      </c>
      <c r="B97" s="60" t="s">
        <v>194</v>
      </c>
      <c r="C97" s="84" t="s">
        <v>9</v>
      </c>
      <c r="D97" s="20"/>
      <c r="E97" s="20"/>
      <c r="F97" s="64" t="s">
        <v>111</v>
      </c>
    </row>
    <row r="98" spans="1:6" ht="14.25" customHeight="1">
      <c r="A98" s="23">
        <v>92</v>
      </c>
      <c r="B98" s="98" t="s">
        <v>195</v>
      </c>
      <c r="C98" s="84" t="s">
        <v>25</v>
      </c>
      <c r="D98" s="100"/>
      <c r="E98" s="100"/>
      <c r="F98" s="99" t="s">
        <v>111</v>
      </c>
    </row>
    <row r="99" spans="1:6" ht="14.25" customHeight="1">
      <c r="A99" s="23">
        <v>93</v>
      </c>
      <c r="B99" s="98" t="s">
        <v>196</v>
      </c>
      <c r="C99" s="84" t="s">
        <v>112</v>
      </c>
      <c r="D99" s="100"/>
      <c r="E99" s="100"/>
      <c r="F99" s="99" t="s">
        <v>111</v>
      </c>
    </row>
    <row r="100" spans="1:6" ht="14.25" customHeight="1">
      <c r="A100" s="23">
        <v>94</v>
      </c>
      <c r="B100" s="98" t="s">
        <v>197</v>
      </c>
      <c r="C100" s="84" t="s">
        <v>52</v>
      </c>
      <c r="D100" s="101">
        <v>209690296</v>
      </c>
      <c r="E100" s="100"/>
      <c r="F100" s="99" t="s">
        <v>121</v>
      </c>
    </row>
    <row r="101" spans="1:6" ht="14.25" customHeight="1">
      <c r="A101" s="23">
        <v>95</v>
      </c>
      <c r="B101" s="98" t="s">
        <v>198</v>
      </c>
      <c r="C101" s="84" t="s">
        <v>71</v>
      </c>
      <c r="D101" s="101">
        <v>605450294</v>
      </c>
      <c r="E101" s="100"/>
      <c r="F101" s="99" t="s">
        <v>121</v>
      </c>
    </row>
    <row r="102" spans="1:6" ht="14.25" customHeight="1">
      <c r="A102" s="23">
        <v>96</v>
      </c>
      <c r="B102" s="98" t="s">
        <v>199</v>
      </c>
      <c r="C102" s="84" t="s">
        <v>87</v>
      </c>
      <c r="D102" s="101">
        <v>605440915</v>
      </c>
      <c r="E102" s="100"/>
      <c r="F102" s="99" t="s">
        <v>121</v>
      </c>
    </row>
    <row r="103" spans="1:6" ht="14.25" customHeight="1">
      <c r="A103" s="23">
        <v>97</v>
      </c>
      <c r="B103" s="98" t="s">
        <v>200</v>
      </c>
      <c r="C103" s="84" t="s">
        <v>97</v>
      </c>
      <c r="D103" s="101">
        <v>121830826</v>
      </c>
      <c r="E103" s="100"/>
      <c r="F103" s="99" t="s">
        <v>121</v>
      </c>
    </row>
    <row r="104" spans="1:6" ht="14.25" customHeight="1">
      <c r="A104" s="23">
        <v>98</v>
      </c>
      <c r="B104" s="98" t="s">
        <v>201</v>
      </c>
      <c r="C104" s="84" t="s">
        <v>87</v>
      </c>
      <c r="D104" s="101">
        <v>605450449</v>
      </c>
      <c r="E104" s="100"/>
      <c r="F104" s="99" t="s">
        <v>121</v>
      </c>
    </row>
    <row r="105" spans="1:6" ht="14.25" customHeight="1">
      <c r="A105" s="23">
        <v>99</v>
      </c>
      <c r="B105" s="98" t="s">
        <v>202</v>
      </c>
      <c r="C105" s="84" t="s">
        <v>112</v>
      </c>
      <c r="D105" s="101">
        <v>605460517</v>
      </c>
      <c r="E105" s="100"/>
      <c r="F105" s="99" t="s">
        <v>121</v>
      </c>
    </row>
    <row r="106" spans="1:6" ht="14.25" customHeight="1">
      <c r="A106" s="23">
        <v>100</v>
      </c>
      <c r="B106" s="98" t="s">
        <v>203</v>
      </c>
      <c r="C106" s="84" t="s">
        <v>143</v>
      </c>
      <c r="D106" s="101">
        <v>209500460</v>
      </c>
      <c r="E106" s="100"/>
      <c r="F106" s="99" t="s">
        <v>117</v>
      </c>
    </row>
    <row r="107" spans="1:6" ht="14.25" customHeight="1">
      <c r="A107" s="23">
        <v>101</v>
      </c>
      <c r="B107" s="98" t="s">
        <v>204</v>
      </c>
      <c r="C107" s="84" t="s">
        <v>112</v>
      </c>
      <c r="D107" s="101">
        <v>121640184</v>
      </c>
      <c r="E107" s="100"/>
      <c r="F107" s="99" t="s">
        <v>117</v>
      </c>
    </row>
    <row r="108" spans="1:6" ht="14.25" customHeight="1">
      <c r="A108" s="23"/>
      <c r="B108" s="98"/>
      <c r="C108" s="84"/>
      <c r="D108" s="101"/>
      <c r="E108" s="100"/>
      <c r="F108" s="99"/>
    </row>
    <row r="109" spans="1:6" ht="14.25" customHeight="1">
      <c r="A109" s="23"/>
      <c r="B109" s="98"/>
      <c r="C109" s="84"/>
      <c r="D109" s="101"/>
      <c r="E109" s="100"/>
      <c r="F109" s="99"/>
    </row>
    <row r="110" spans="1:6" ht="14.25" customHeight="1">
      <c r="A110" s="23"/>
      <c r="B110" s="98"/>
      <c r="C110" s="84"/>
      <c r="D110" s="101"/>
      <c r="E110" s="100"/>
      <c r="F110" s="99"/>
    </row>
    <row r="111" spans="1:6" ht="14.25" customHeight="1">
      <c r="A111" s="23"/>
      <c r="B111" s="98"/>
      <c r="C111" s="84"/>
      <c r="D111" s="101"/>
      <c r="E111" s="100"/>
      <c r="F111" s="99"/>
    </row>
    <row r="112" spans="1:6" ht="14.25" customHeight="1">
      <c r="A112" s="23"/>
      <c r="B112" s="98"/>
      <c r="C112" s="84"/>
      <c r="D112" s="101"/>
      <c r="E112" s="100"/>
      <c r="F112" s="99"/>
    </row>
    <row r="113" spans="1:6" ht="14.25" customHeight="1">
      <c r="A113" s="23"/>
      <c r="B113" s="98"/>
      <c r="C113" s="84"/>
      <c r="D113" s="101"/>
      <c r="E113" s="100"/>
      <c r="F113" s="99"/>
    </row>
    <row r="114" spans="1:6" ht="14.25" customHeight="1">
      <c r="A114" s="23"/>
      <c r="B114" s="98"/>
      <c r="C114" s="84"/>
      <c r="D114" s="101"/>
      <c r="E114" s="100"/>
      <c r="F114" s="99"/>
    </row>
    <row r="115" spans="1:6" ht="14.25" customHeight="1">
      <c r="A115" s="23"/>
      <c r="B115" s="98"/>
      <c r="C115" s="84"/>
      <c r="D115" s="101"/>
      <c r="E115" s="100"/>
      <c r="F115" s="99"/>
    </row>
    <row r="116" spans="1:6" ht="14.25" customHeight="1">
      <c r="A116" s="23"/>
      <c r="B116" s="98"/>
      <c r="C116" s="84"/>
      <c r="D116" s="101"/>
      <c r="E116" s="100"/>
      <c r="F116" s="99"/>
    </row>
    <row r="117" spans="1:6" ht="14.25" customHeight="1">
      <c r="C117" s="97"/>
    </row>
  </sheetData>
  <autoFilter ref="A6:F59" xr:uid="{FF6C38BA-4EDB-4B58-B46A-A5A7847CD75B}">
    <sortState ref="A7:F96">
      <sortCondition ref="B6:B59"/>
    </sortState>
  </autoFilter>
  <mergeCells count="2">
    <mergeCell ref="B1:F1"/>
    <mergeCell ref="B2:F2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60B6-446F-42A2-9FCE-3BEF799FC08D}">
  <dimension ref="A1:C38"/>
  <sheetViews>
    <sheetView workbookViewId="0">
      <selection activeCell="A2" sqref="A2:C38"/>
    </sheetView>
  </sheetViews>
  <sheetFormatPr baseColWidth="10" defaultColWidth="11.375" defaultRowHeight="14.25"/>
  <cols>
    <col min="1" max="1" width="16.625" customWidth="1"/>
    <col min="2" max="2" width="20.375" customWidth="1"/>
    <col min="3" max="3" width="25.25" customWidth="1"/>
  </cols>
  <sheetData>
    <row r="1" spans="1:3">
      <c r="A1" t="s">
        <v>205</v>
      </c>
      <c r="B1" t="s">
        <v>206</v>
      </c>
      <c r="C1" t="s">
        <v>207</v>
      </c>
    </row>
    <row r="2" spans="1:3">
      <c r="A2" s="43" t="s">
        <v>208</v>
      </c>
      <c r="B2" s="44" t="s">
        <v>209</v>
      </c>
      <c r="C2" s="48" t="s">
        <v>210</v>
      </c>
    </row>
    <row r="3" spans="1:3">
      <c r="A3" s="43" t="s">
        <v>208</v>
      </c>
      <c r="B3" s="44" t="s">
        <v>211</v>
      </c>
      <c r="C3" s="48" t="s">
        <v>212</v>
      </c>
    </row>
    <row r="4" spans="1:3">
      <c r="A4" s="43" t="s">
        <v>213</v>
      </c>
      <c r="B4" s="44" t="s">
        <v>214</v>
      </c>
      <c r="C4" s="48" t="s">
        <v>215</v>
      </c>
    </row>
    <row r="5" spans="1:3">
      <c r="A5" s="43" t="s">
        <v>216</v>
      </c>
      <c r="B5" s="44" t="s">
        <v>217</v>
      </c>
      <c r="C5" s="49" t="s">
        <v>218</v>
      </c>
    </row>
    <row r="6" spans="1:3">
      <c r="A6" s="43" t="s">
        <v>219</v>
      </c>
      <c r="B6" s="44" t="s">
        <v>220</v>
      </c>
      <c r="C6" s="48" t="s">
        <v>221</v>
      </c>
    </row>
    <row r="7" spans="1:3">
      <c r="A7" s="43" t="s">
        <v>219</v>
      </c>
      <c r="B7" s="44" t="s">
        <v>222</v>
      </c>
      <c r="C7" s="50" t="s">
        <v>223</v>
      </c>
    </row>
    <row r="8" spans="1:3">
      <c r="A8" s="43" t="s">
        <v>224</v>
      </c>
      <c r="B8" s="44" t="s">
        <v>225</v>
      </c>
      <c r="C8" s="48" t="s">
        <v>226</v>
      </c>
    </row>
    <row r="9" spans="1:3">
      <c r="A9" s="43" t="s">
        <v>227</v>
      </c>
      <c r="B9" s="44" t="s">
        <v>228</v>
      </c>
      <c r="C9" s="48" t="s">
        <v>229</v>
      </c>
    </row>
    <row r="10" spans="1:3">
      <c r="A10" s="43" t="s">
        <v>230</v>
      </c>
      <c r="B10" s="44" t="s">
        <v>231</v>
      </c>
      <c r="C10" s="48" t="s">
        <v>232</v>
      </c>
    </row>
    <row r="11" spans="1:3">
      <c r="A11" s="43" t="s">
        <v>233</v>
      </c>
      <c r="B11" s="44" t="s">
        <v>234</v>
      </c>
      <c r="C11" s="49" t="s">
        <v>235</v>
      </c>
    </row>
    <row r="12" spans="1:3">
      <c r="A12" s="43" t="s">
        <v>236</v>
      </c>
      <c r="B12" s="44" t="s">
        <v>237</v>
      </c>
      <c r="C12" s="43" t="s">
        <v>238</v>
      </c>
    </row>
    <row r="13" spans="1:3">
      <c r="A13" s="43" t="s">
        <v>217</v>
      </c>
      <c r="B13" s="44" t="s">
        <v>239</v>
      </c>
      <c r="C13" s="48" t="s">
        <v>240</v>
      </c>
    </row>
    <row r="14" spans="1:3">
      <c r="A14" s="43" t="s">
        <v>217</v>
      </c>
      <c r="B14" s="44" t="s">
        <v>241</v>
      </c>
      <c r="C14" s="48" t="s">
        <v>242</v>
      </c>
    </row>
    <row r="15" spans="1:3">
      <c r="A15" s="43" t="s">
        <v>243</v>
      </c>
      <c r="B15" s="44" t="s">
        <v>244</v>
      </c>
      <c r="C15" s="48" t="s">
        <v>245</v>
      </c>
    </row>
    <row r="16" spans="1:3">
      <c r="A16" s="43" t="s">
        <v>243</v>
      </c>
      <c r="B16" s="44" t="s">
        <v>246</v>
      </c>
      <c r="C16" s="48" t="s">
        <v>247</v>
      </c>
    </row>
    <row r="17" spans="1:3">
      <c r="A17" s="43" t="s">
        <v>248</v>
      </c>
      <c r="B17" s="44" t="s">
        <v>249</v>
      </c>
      <c r="C17" s="48" t="s">
        <v>250</v>
      </c>
    </row>
    <row r="18" spans="1:3">
      <c r="A18" s="43" t="s">
        <v>211</v>
      </c>
      <c r="B18" s="44" t="s">
        <v>251</v>
      </c>
      <c r="C18" s="48" t="s">
        <v>252</v>
      </c>
    </row>
    <row r="19" spans="1:3">
      <c r="A19" s="43" t="s">
        <v>253</v>
      </c>
      <c r="B19" s="44" t="s">
        <v>217</v>
      </c>
      <c r="C19" s="48" t="s">
        <v>254</v>
      </c>
    </row>
    <row r="20" spans="1:3">
      <c r="A20" s="43" t="s">
        <v>255</v>
      </c>
      <c r="B20" s="44" t="s">
        <v>219</v>
      </c>
      <c r="C20" s="48" t="s">
        <v>256</v>
      </c>
    </row>
    <row r="21" spans="1:3">
      <c r="A21" s="43" t="s">
        <v>255</v>
      </c>
      <c r="B21" s="44" t="s">
        <v>257</v>
      </c>
      <c r="C21" s="48" t="s">
        <v>258</v>
      </c>
    </row>
    <row r="22" spans="1:3">
      <c r="A22" s="43" t="s">
        <v>255</v>
      </c>
      <c r="B22" s="44" t="s">
        <v>259</v>
      </c>
      <c r="C22" s="48" t="s">
        <v>260</v>
      </c>
    </row>
    <row r="23" spans="1:3">
      <c r="A23" s="43" t="s">
        <v>261</v>
      </c>
      <c r="B23" s="44" t="s">
        <v>262</v>
      </c>
      <c r="C23" s="48" t="s">
        <v>263</v>
      </c>
    </row>
    <row r="24" spans="1:3">
      <c r="A24" s="43" t="s">
        <v>261</v>
      </c>
      <c r="B24" s="44" t="s">
        <v>222</v>
      </c>
      <c r="C24" s="48" t="s">
        <v>264</v>
      </c>
    </row>
    <row r="25" spans="1:3">
      <c r="A25" s="43" t="s">
        <v>265</v>
      </c>
      <c r="B25" s="44" t="s">
        <v>266</v>
      </c>
      <c r="C25" s="48" t="s">
        <v>267</v>
      </c>
    </row>
    <row r="26" spans="1:3">
      <c r="A26" s="43" t="s">
        <v>268</v>
      </c>
      <c r="B26" s="44" t="s">
        <v>269</v>
      </c>
      <c r="C26" s="48" t="s">
        <v>270</v>
      </c>
    </row>
    <row r="27" spans="1:3">
      <c r="A27" s="43" t="s">
        <v>271</v>
      </c>
      <c r="B27" s="44" t="s">
        <v>272</v>
      </c>
      <c r="C27" s="48" t="s">
        <v>273</v>
      </c>
    </row>
    <row r="28" spans="1:3">
      <c r="A28" s="43" t="s">
        <v>214</v>
      </c>
      <c r="B28" s="44" t="s">
        <v>274</v>
      </c>
      <c r="C28" s="48" t="s">
        <v>275</v>
      </c>
    </row>
    <row r="29" spans="1:3">
      <c r="A29" s="43" t="s">
        <v>276</v>
      </c>
      <c r="B29" s="44" t="s">
        <v>277</v>
      </c>
      <c r="C29" s="48" t="s">
        <v>278</v>
      </c>
    </row>
    <row r="30" spans="1:3">
      <c r="A30" s="43" t="s">
        <v>279</v>
      </c>
      <c r="B30" s="44" t="s">
        <v>280</v>
      </c>
      <c r="C30" s="49" t="s">
        <v>281</v>
      </c>
    </row>
    <row r="31" spans="1:3">
      <c r="A31" s="43" t="s">
        <v>282</v>
      </c>
      <c r="B31" s="44" t="s">
        <v>253</v>
      </c>
      <c r="C31" s="48" t="s">
        <v>283</v>
      </c>
    </row>
    <row r="32" spans="1:3">
      <c r="A32" s="43" t="s">
        <v>225</v>
      </c>
      <c r="B32" s="44" t="s">
        <v>227</v>
      </c>
      <c r="C32" s="48" t="s">
        <v>284</v>
      </c>
    </row>
    <row r="33" spans="1:3">
      <c r="A33" s="43" t="s">
        <v>285</v>
      </c>
      <c r="B33" s="44" t="s">
        <v>286</v>
      </c>
      <c r="C33" s="48" t="s">
        <v>287</v>
      </c>
    </row>
    <row r="34" spans="1:3">
      <c r="A34" s="43" t="s">
        <v>288</v>
      </c>
      <c r="B34" s="44" t="s">
        <v>289</v>
      </c>
      <c r="C34" s="43" t="s">
        <v>290</v>
      </c>
    </row>
    <row r="35" spans="1:3">
      <c r="A35" s="43" t="s">
        <v>291</v>
      </c>
      <c r="B35" s="44" t="s">
        <v>292</v>
      </c>
      <c r="C35" s="48" t="s">
        <v>293</v>
      </c>
    </row>
    <row r="36" spans="1:3">
      <c r="A36" s="43" t="s">
        <v>231</v>
      </c>
      <c r="B36" s="44" t="s">
        <v>294</v>
      </c>
      <c r="C36" s="48" t="s">
        <v>295</v>
      </c>
    </row>
    <row r="37" spans="1:3">
      <c r="A37" s="43" t="s">
        <v>231</v>
      </c>
      <c r="B37" s="44" t="s">
        <v>296</v>
      </c>
      <c r="C37" s="49" t="s">
        <v>297</v>
      </c>
    </row>
    <row r="38" spans="1:3">
      <c r="A38" s="43" t="s">
        <v>298</v>
      </c>
      <c r="B38" s="44" t="s">
        <v>299</v>
      </c>
      <c r="C38" s="49" t="s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F786-5C00-477E-8F52-80F3EF496685}">
  <dimension ref="A1:E19"/>
  <sheetViews>
    <sheetView workbookViewId="0">
      <selection activeCell="E8" sqref="E8"/>
    </sheetView>
  </sheetViews>
  <sheetFormatPr baseColWidth="10" defaultColWidth="11.375" defaultRowHeight="14.25"/>
  <cols>
    <col min="1" max="1" width="5.875" style="1" customWidth="1"/>
    <col min="2" max="2" width="43.875" style="1" customWidth="1"/>
    <col min="3" max="3" width="15" style="1" customWidth="1"/>
    <col min="4" max="4" width="20.375" style="1" customWidth="1"/>
    <col min="5" max="5" width="81.375" style="1" customWidth="1"/>
    <col min="6" max="16384" width="11.375" style="1"/>
  </cols>
  <sheetData>
    <row r="1" spans="1:5" ht="15">
      <c r="B1" s="140" t="s">
        <v>0</v>
      </c>
      <c r="C1" s="140"/>
      <c r="D1" s="140"/>
      <c r="E1" s="140"/>
    </row>
    <row r="2" spans="1:5">
      <c r="B2" s="141" t="s">
        <v>301</v>
      </c>
      <c r="C2" s="141"/>
      <c r="D2" s="141"/>
      <c r="E2" s="141"/>
    </row>
    <row r="6" spans="1:5" ht="15">
      <c r="B6" s="21" t="s">
        <v>2</v>
      </c>
      <c r="C6" s="4" t="s">
        <v>3</v>
      </c>
      <c r="D6" s="22" t="s">
        <v>4</v>
      </c>
      <c r="E6" s="29" t="s">
        <v>7</v>
      </c>
    </row>
    <row r="7" spans="1:5" ht="57">
      <c r="A7" s="23">
        <v>1</v>
      </c>
      <c r="B7" s="30" t="s">
        <v>302</v>
      </c>
      <c r="C7" s="17" t="s">
        <v>114</v>
      </c>
      <c r="D7" s="31">
        <v>605280086</v>
      </c>
      <c r="E7" s="32" t="s">
        <v>303</v>
      </c>
    </row>
    <row r="8" spans="1:5">
      <c r="A8" s="23">
        <v>2</v>
      </c>
      <c r="B8" s="30"/>
      <c r="C8" s="17"/>
      <c r="D8" s="31"/>
      <c r="E8" s="33"/>
    </row>
    <row r="9" spans="1:5">
      <c r="A9" s="23">
        <v>3</v>
      </c>
      <c r="B9" s="30"/>
      <c r="C9" s="17"/>
      <c r="D9" s="31"/>
      <c r="E9" s="33"/>
    </row>
    <row r="10" spans="1:5">
      <c r="A10" s="23">
        <v>4</v>
      </c>
      <c r="B10" s="30"/>
      <c r="C10" s="34"/>
      <c r="D10" s="31"/>
      <c r="E10" s="33"/>
    </row>
    <row r="11" spans="1:5">
      <c r="A11" s="23">
        <v>5</v>
      </c>
      <c r="B11" s="30"/>
      <c r="C11" s="34"/>
      <c r="D11" s="31"/>
      <c r="E11" s="33"/>
    </row>
    <row r="12" spans="1:5">
      <c r="A12" s="23">
        <v>6</v>
      </c>
      <c r="B12" s="30"/>
      <c r="C12" s="34"/>
      <c r="D12" s="31"/>
      <c r="E12" s="33"/>
    </row>
    <row r="13" spans="1:5">
      <c r="A13" s="23">
        <v>7</v>
      </c>
      <c r="B13" s="30"/>
      <c r="C13" s="34"/>
      <c r="D13" s="31"/>
      <c r="E13" s="33"/>
    </row>
    <row r="14" spans="1:5">
      <c r="A14" s="23">
        <v>8</v>
      </c>
      <c r="B14" s="30"/>
      <c r="C14" s="34"/>
      <c r="D14" s="31"/>
      <c r="E14" s="33"/>
    </row>
    <row r="15" spans="1:5">
      <c r="A15" s="23">
        <v>9</v>
      </c>
      <c r="B15" s="30"/>
      <c r="C15" s="34"/>
      <c r="D15" s="31"/>
      <c r="E15" s="33"/>
    </row>
    <row r="16" spans="1:5">
      <c r="A16" s="23">
        <v>10</v>
      </c>
      <c r="B16" s="30"/>
      <c r="C16" s="34"/>
      <c r="D16" s="31"/>
      <c r="E16" s="33"/>
    </row>
    <row r="17" spans="1:5">
      <c r="A17" s="23">
        <v>11</v>
      </c>
      <c r="B17" s="30"/>
      <c r="C17" s="34"/>
      <c r="D17" s="31"/>
      <c r="E17" s="33"/>
    </row>
    <row r="18" spans="1:5">
      <c r="A18" s="23">
        <v>12</v>
      </c>
      <c r="B18" s="30"/>
      <c r="C18" s="34"/>
      <c r="D18" s="31"/>
      <c r="E18" s="33"/>
    </row>
    <row r="19" spans="1:5">
      <c r="A19" s="23">
        <v>13</v>
      </c>
      <c r="B19" s="30"/>
      <c r="C19" s="34"/>
      <c r="D19" s="31"/>
      <c r="E19" s="33"/>
    </row>
  </sheetData>
  <autoFilter ref="B6:C6" xr:uid="{2ABDF786-5C00-477E-8F52-80F3EF496685}"/>
  <mergeCells count="2">
    <mergeCell ref="B1:E1"/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5968-5A16-4D45-8C27-931B399C5EDD}">
  <dimension ref="A1:F15"/>
  <sheetViews>
    <sheetView topLeftCell="A10" workbookViewId="0">
      <selection activeCell="A15" sqref="A15:F15"/>
    </sheetView>
  </sheetViews>
  <sheetFormatPr baseColWidth="10" defaultColWidth="8.875" defaultRowHeight="14.25"/>
  <cols>
    <col min="2" max="2" width="27.375" customWidth="1"/>
    <col min="3" max="3" width="10.375" customWidth="1"/>
    <col min="4" max="4" width="17.625" customWidth="1"/>
    <col min="5" max="5" width="31.375" customWidth="1"/>
    <col min="6" max="6" width="42.625" customWidth="1"/>
  </cols>
  <sheetData>
    <row r="1" spans="1:6" ht="15">
      <c r="A1" s="2"/>
      <c r="B1" s="3" t="s">
        <v>2</v>
      </c>
      <c r="C1" s="4" t="s">
        <v>3</v>
      </c>
      <c r="D1" s="5" t="s">
        <v>4</v>
      </c>
      <c r="E1" s="6" t="s">
        <v>6</v>
      </c>
      <c r="F1" s="7" t="s">
        <v>7</v>
      </c>
    </row>
    <row r="2" spans="1:6" ht="37.5" customHeight="1">
      <c r="A2" s="2">
        <v>2</v>
      </c>
      <c r="B2" s="137" t="s">
        <v>304</v>
      </c>
      <c r="C2" s="8" t="s">
        <v>52</v>
      </c>
      <c r="D2" s="14">
        <v>605230224</v>
      </c>
      <c r="E2" s="16" t="s">
        <v>305</v>
      </c>
      <c r="F2" s="10" t="s">
        <v>12</v>
      </c>
    </row>
    <row r="3" spans="1:6" ht="27" customHeight="1">
      <c r="A3" s="2">
        <v>3</v>
      </c>
      <c r="B3" s="37" t="s">
        <v>306</v>
      </c>
      <c r="C3" s="17" t="s">
        <v>181</v>
      </c>
      <c r="D3" s="18" t="s">
        <v>307</v>
      </c>
      <c r="E3" s="16" t="s">
        <v>308</v>
      </c>
      <c r="F3" s="10" t="s">
        <v>12</v>
      </c>
    </row>
    <row r="4" spans="1:6" ht="30" customHeight="1">
      <c r="A4" s="2">
        <v>6</v>
      </c>
      <c r="B4" s="138" t="s">
        <v>309</v>
      </c>
      <c r="C4" s="17" t="s">
        <v>49</v>
      </c>
      <c r="D4" s="18" t="s">
        <v>310</v>
      </c>
      <c r="E4" s="40" t="s">
        <v>311</v>
      </c>
      <c r="F4" s="13" t="s">
        <v>12</v>
      </c>
    </row>
    <row r="5" spans="1:6" ht="57.75">
      <c r="A5" s="2">
        <v>10</v>
      </c>
      <c r="B5" s="39" t="s">
        <v>312</v>
      </c>
      <c r="C5" s="17" t="s">
        <v>163</v>
      </c>
      <c r="D5" s="18" t="s">
        <v>313</v>
      </c>
      <c r="E5" s="42" t="s">
        <v>314</v>
      </c>
      <c r="F5" s="13" t="s">
        <v>12</v>
      </c>
    </row>
    <row r="6" spans="1:6" ht="57.75">
      <c r="A6" s="2">
        <v>12</v>
      </c>
      <c r="B6" s="139" t="s">
        <v>315</v>
      </c>
      <c r="C6" s="8" t="s">
        <v>52</v>
      </c>
      <c r="D6" s="14">
        <v>605390380</v>
      </c>
      <c r="E6" s="41" t="s">
        <v>316</v>
      </c>
      <c r="F6" s="13" t="s">
        <v>12</v>
      </c>
    </row>
    <row r="7" spans="1:6" ht="15">
      <c r="A7" s="2">
        <v>15</v>
      </c>
      <c r="B7" s="138" t="s">
        <v>317</v>
      </c>
      <c r="C7" s="17" t="s">
        <v>87</v>
      </c>
      <c r="D7" s="19">
        <v>605300175</v>
      </c>
      <c r="E7" s="15" t="s">
        <v>318</v>
      </c>
      <c r="F7" s="13" t="s">
        <v>319</v>
      </c>
    </row>
    <row r="8" spans="1:6" ht="57.75">
      <c r="A8" s="2">
        <v>17</v>
      </c>
      <c r="B8" s="137" t="s">
        <v>320</v>
      </c>
      <c r="C8" s="8" t="s">
        <v>14</v>
      </c>
      <c r="D8" s="14">
        <v>605240015</v>
      </c>
      <c r="E8" s="16" t="s">
        <v>11</v>
      </c>
      <c r="F8" s="13" t="s">
        <v>12</v>
      </c>
    </row>
    <row r="9" spans="1:6" ht="29.25">
      <c r="A9" s="2">
        <v>19</v>
      </c>
      <c r="B9" s="137" t="s">
        <v>321</v>
      </c>
      <c r="C9" s="8" t="s">
        <v>76</v>
      </c>
      <c r="D9" s="14">
        <v>605230862</v>
      </c>
      <c r="E9" s="15" t="s">
        <v>19</v>
      </c>
      <c r="F9" s="13" t="s">
        <v>12</v>
      </c>
    </row>
    <row r="10" spans="1:6" ht="29.25">
      <c r="A10" s="2">
        <v>21</v>
      </c>
      <c r="B10" s="137" t="s">
        <v>322</v>
      </c>
      <c r="C10" s="8" t="s">
        <v>14</v>
      </c>
      <c r="D10" s="14">
        <v>605290484</v>
      </c>
      <c r="E10" s="15" t="s">
        <v>323</v>
      </c>
      <c r="F10" s="13" t="s">
        <v>12</v>
      </c>
    </row>
    <row r="11" spans="1:6" ht="15">
      <c r="A11" s="2">
        <v>25</v>
      </c>
      <c r="B11" s="36" t="s">
        <v>324</v>
      </c>
      <c r="C11" s="8" t="s">
        <v>67</v>
      </c>
      <c r="D11" s="11">
        <v>121360350</v>
      </c>
      <c r="E11" s="9" t="s">
        <v>73</v>
      </c>
      <c r="F11" s="12" t="s">
        <v>325</v>
      </c>
    </row>
    <row r="12" spans="1:6" ht="29.25">
      <c r="A12" s="2">
        <v>26</v>
      </c>
      <c r="B12" s="137" t="s">
        <v>326</v>
      </c>
      <c r="C12" s="8" t="s">
        <v>327</v>
      </c>
      <c r="D12" s="11">
        <v>605400254</v>
      </c>
      <c r="E12" s="9" t="s">
        <v>328</v>
      </c>
      <c r="F12" s="35" t="s">
        <v>329</v>
      </c>
    </row>
    <row r="13" spans="1:6" ht="43.5">
      <c r="A13" s="2">
        <v>28</v>
      </c>
      <c r="B13" s="137" t="s">
        <v>330</v>
      </c>
      <c r="C13" s="8" t="s">
        <v>9</v>
      </c>
      <c r="D13" s="14" t="s">
        <v>331</v>
      </c>
      <c r="E13" s="16" t="s">
        <v>332</v>
      </c>
      <c r="F13" s="13" t="s">
        <v>12</v>
      </c>
    </row>
    <row r="14" spans="1:6" ht="15">
      <c r="A14" s="2">
        <v>30</v>
      </c>
      <c r="B14" s="137" t="s">
        <v>333</v>
      </c>
      <c r="C14" s="8" t="s">
        <v>71</v>
      </c>
      <c r="D14" s="14">
        <v>605210622</v>
      </c>
      <c r="E14" s="15" t="s">
        <v>334</v>
      </c>
      <c r="F14" s="13" t="s">
        <v>43</v>
      </c>
    </row>
    <row r="15" spans="1:6" ht="29.25">
      <c r="A15" s="2">
        <v>35</v>
      </c>
      <c r="B15" s="137" t="s">
        <v>335</v>
      </c>
      <c r="C15" s="8" t="s">
        <v>87</v>
      </c>
      <c r="D15" s="14">
        <v>121000627</v>
      </c>
      <c r="E15" s="15" t="s">
        <v>29</v>
      </c>
      <c r="F1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E49EFA8359014483DFEDFBEB59A98D" ma:contentTypeVersion="10" ma:contentTypeDescription="Crear nuevo documento." ma:contentTypeScope="" ma:versionID="ec5e6cffdce50f9b4ae0a538b3033f74">
  <xsd:schema xmlns:xsd="http://www.w3.org/2001/XMLSchema" xmlns:xs="http://www.w3.org/2001/XMLSchema" xmlns:p="http://schemas.microsoft.com/office/2006/metadata/properties" xmlns:ns2="35fd97c1-9d0a-41c4-8970-db51394a77c9" xmlns:ns3="8deb9ff1-9346-46f5-b365-70a89aa0c9b9" targetNamespace="http://schemas.microsoft.com/office/2006/metadata/properties" ma:root="true" ma:fieldsID="6631e7e3bd7418d605c8c9ac2a0fc9f5" ns2:_="" ns3:_="">
    <xsd:import namespace="35fd97c1-9d0a-41c4-8970-db51394a77c9"/>
    <xsd:import namespace="8deb9ff1-9346-46f5-b365-70a89aa0c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d97c1-9d0a-41c4-8970-db51394a77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8a094f3-5355-4f18-8742-8f039f4031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b9ff1-9346-46f5-b365-70a89aa0c9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60d8a8c-25c6-4c6c-8073-f28814d9df8d}" ma:internalName="TaxCatchAll" ma:showField="CatchAllData" ma:web="8deb9ff1-9346-46f5-b365-70a89aa0c9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fd97c1-9d0a-41c4-8970-db51394a77c9">
      <Terms xmlns="http://schemas.microsoft.com/office/infopath/2007/PartnerControls"/>
    </lcf76f155ced4ddcb4097134ff3c332f>
    <TaxCatchAll xmlns="8deb9ff1-9346-46f5-b365-70a89aa0c9b9" xsi:nil="true"/>
  </documentManagement>
</p:properties>
</file>

<file path=customXml/itemProps1.xml><?xml version="1.0" encoding="utf-8"?>
<ds:datastoreItem xmlns:ds="http://schemas.openxmlformats.org/officeDocument/2006/customXml" ds:itemID="{7BE8FF85-9F12-46BD-BFFC-806FCD25A0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84397E-4AE7-461F-A9A8-DA6DF91908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d97c1-9d0a-41c4-8970-db51394a77c9"/>
    <ds:schemaRef ds:uri="8deb9ff1-9346-46f5-b365-70a89aa0c9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EBACA3-E194-4EA5-9FD2-2B0D013D5013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deb9ff1-9346-46f5-b365-70a89aa0c9b9"/>
    <ds:schemaRef ds:uri="35fd97c1-9d0a-41c4-8970-db51394a77c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Adecuaciones Significativas</vt:lpstr>
      <vt:lpstr>Adecuaciones no significativas</vt:lpstr>
      <vt:lpstr>Hoja1</vt:lpstr>
      <vt:lpstr>Adecuaciones de Acceso</vt:lpstr>
      <vt:lpstr>Traslados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Vargas Granados</dc:creator>
  <cp:keywords/>
  <dc:description/>
  <cp:lastModifiedBy>Erick Vargas Granados</cp:lastModifiedBy>
  <cp:revision/>
  <dcterms:created xsi:type="dcterms:W3CDTF">2025-04-30T18:09:50Z</dcterms:created>
  <dcterms:modified xsi:type="dcterms:W3CDTF">2026-05-19T19:39:47Z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0x010100C1E49EFA8359014483DFEDFBEB59A98D</vt:lpwstr>
  </property>
  <property fmtid="{D5CDD505-2E9C-101B-9397-08002B2CF9AE}" pid="3" name="MediaServiceImageTags">
    <vt:lpwstr/>
  </property>
</Properties>
</file>